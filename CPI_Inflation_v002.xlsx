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excel_project_for_CN\"/>
    </mc:Choice>
  </mc:AlternateContent>
  <xr:revisionPtr revIDLastSave="0" documentId="13_ncr:1_{56F07E36-5842-4820-8135-DC1E1DDCB6E1}" xr6:coauthVersionLast="47" xr6:coauthVersionMax="47" xr10:uidLastSave="{00000000-0000-0000-0000-000000000000}"/>
  <bookViews>
    <workbookView xWindow="-108" yWindow="-108" windowWidth="23256" windowHeight="12456" activeTab="1" xr2:uid="{7B63BCCB-4E20-4F5A-9F92-3E364420D188}"/>
  </bookViews>
  <sheets>
    <sheet name="CPI" sheetId="7" r:id="rId1"/>
    <sheet name="Dashboard" sheetId="5" r:id="rId2"/>
    <sheet name="Q1_Contribution" sheetId="6" r:id="rId3"/>
    <sheet name="Q2_YOY" sheetId="8" r:id="rId4"/>
    <sheet name="Q3_Food" sheetId="9" r:id="rId5"/>
    <sheet name="Q4_COVID" sheetId="10" r:id="rId6"/>
    <sheet name="Q5_Oil" sheetId="11" r:id="rId7"/>
    <sheet name="Missing Values Handled" sheetId="3" r:id="rId8"/>
  </sheets>
  <definedNames>
    <definedName name="_xlnm._FilterDatabase" localSheetId="3" hidden="1">Q2_YOY!$D$2:$F$13</definedName>
    <definedName name="_xlnm._FilterDatabase" localSheetId="4" hidden="1">Q3_Food!$N$1:$Q$14</definedName>
    <definedName name="_xlnm._FilterDatabase" localSheetId="6" hidden="1">Q5_Oil!$I$1:$J$6</definedName>
    <definedName name="ExternalData_1" localSheetId="0" hidden="1">CPI!$A$1:$AF$373</definedName>
    <definedName name="Slicer_Covid_Period">#N/A</definedName>
    <definedName name="Slicer_Year">#N/A</definedName>
  </definedNames>
  <calcPr calcId="181029"/>
  <pivotCaches>
    <pivotCache cacheId="0" r:id="rId9"/>
    <pivotCache cacheId="1"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 i="11" l="1"/>
  <c r="J5" i="11"/>
  <c r="J4" i="11"/>
  <c r="J3" i="11"/>
  <c r="J2" i="11"/>
  <c r="H9" i="9"/>
  <c r="I6" i="9"/>
  <c r="B28" i="6"/>
  <c r="B27" i="6"/>
  <c r="B26" i="6"/>
  <c r="B25" i="6"/>
  <c r="B24" i="6"/>
  <c r="B23" i="6"/>
  <c r="B22" i="6"/>
  <c r="B21" i="6"/>
  <c r="B20" i="6"/>
  <c r="B18" i="6"/>
  <c r="B19" i="6"/>
  <c r="B17" i="6"/>
  <c r="I3" i="9"/>
  <c r="F4" i="9"/>
  <c r="F5" i="9"/>
  <c r="F6" i="9"/>
  <c r="F7" i="9"/>
  <c r="F8" i="9"/>
  <c r="F9" i="9"/>
  <c r="F10" i="9"/>
  <c r="F11" i="9"/>
  <c r="F12" i="9"/>
  <c r="F13" i="9"/>
  <c r="F3" i="9"/>
  <c r="F5" i="8"/>
  <c r="F6" i="8"/>
  <c r="F7" i="8"/>
  <c r="F8" i="8"/>
  <c r="F9" i="8"/>
  <c r="F10" i="8"/>
  <c r="F11" i="8"/>
  <c r="F12" i="8"/>
  <c r="F13" i="8"/>
  <c r="F4" i="8"/>
  <c r="H3" i="8" s="1"/>
  <c r="C3" i="3"/>
  <c r="D3" i="3"/>
  <c r="X3" i="3"/>
  <c r="B3" i="3"/>
  <c r="B16" i="6"/>
  <c r="B13" i="6"/>
  <c r="B14" i="6"/>
  <c r="B11" i="6"/>
  <c r="B10" i="6"/>
  <c r="H7" i="6" s="1"/>
  <c r="B8" i="6"/>
  <c r="H6" i="6" s="1"/>
  <c r="B7" i="6"/>
  <c r="H5" i="6" s="1"/>
  <c r="B6" i="6"/>
  <c r="B4" i="6"/>
  <c r="B15" i="6"/>
  <c r="AG88" i="7"/>
  <c r="D88" i="7" s="1"/>
  <c r="E88" i="7" s="1"/>
  <c r="AG372" i="7"/>
  <c r="D372" i="7" s="1"/>
  <c r="E372" i="7" s="1"/>
  <c r="AG371" i="7"/>
  <c r="D371" i="7" s="1"/>
  <c r="E371" i="7" s="1"/>
  <c r="AG85" i="7"/>
  <c r="D85" i="7" s="1"/>
  <c r="E85" i="7" s="1"/>
  <c r="AG369" i="7"/>
  <c r="D369" i="7" s="1"/>
  <c r="E369" i="7" s="1"/>
  <c r="AG368" i="7"/>
  <c r="D368" i="7" s="1"/>
  <c r="E368" i="7" s="1"/>
  <c r="AG82" i="7"/>
  <c r="D82" i="7" s="1"/>
  <c r="E82" i="7" s="1"/>
  <c r="AG366" i="7"/>
  <c r="D366" i="7" s="1"/>
  <c r="E366" i="7" s="1"/>
  <c r="AG365" i="7"/>
  <c r="D365" i="7" s="1"/>
  <c r="E365" i="7" s="1"/>
  <c r="AG79" i="7"/>
  <c r="D79" i="7" s="1"/>
  <c r="E79" i="7" s="1"/>
  <c r="AG363" i="7"/>
  <c r="D363" i="7" s="1"/>
  <c r="E363" i="7" s="1"/>
  <c r="AG362" i="7"/>
  <c r="D362" i="7" s="1"/>
  <c r="E362" i="7" s="1"/>
  <c r="AG76" i="7"/>
  <c r="D76" i="7" s="1"/>
  <c r="E76" i="7" s="1"/>
  <c r="AG360" i="7"/>
  <c r="D360" i="7" s="1"/>
  <c r="E360" i="7" s="1"/>
  <c r="AG359" i="7"/>
  <c r="D359" i="7" s="1"/>
  <c r="E359" i="7" s="1"/>
  <c r="AG73" i="7"/>
  <c r="D73" i="7" s="1"/>
  <c r="E73" i="7" s="1"/>
  <c r="AG357" i="7"/>
  <c r="D357" i="7" s="1"/>
  <c r="E357" i="7" s="1"/>
  <c r="AG356" i="7"/>
  <c r="D356" i="7" s="1"/>
  <c r="E356" i="7" s="1"/>
  <c r="AG70" i="7"/>
  <c r="D70" i="7" s="1"/>
  <c r="E70" i="7" s="1"/>
  <c r="AG354" i="7"/>
  <c r="D354" i="7" s="1"/>
  <c r="E354" i="7" s="1"/>
  <c r="AG353" i="7"/>
  <c r="D353" i="7" s="1"/>
  <c r="E353" i="7" s="1"/>
  <c r="AG67" i="7"/>
  <c r="D67" i="7" s="1"/>
  <c r="E67" i="7" s="1"/>
  <c r="AG351" i="7"/>
  <c r="D351" i="7" s="1"/>
  <c r="E351" i="7" s="1"/>
  <c r="AG350" i="7"/>
  <c r="D350" i="7" s="1"/>
  <c r="E350" i="7" s="1"/>
  <c r="AG64" i="7"/>
  <c r="D64" i="7" s="1"/>
  <c r="E64" i="7" s="1"/>
  <c r="AG348" i="7"/>
  <c r="D348" i="7" s="1"/>
  <c r="E348" i="7" s="1"/>
  <c r="AG347" i="7"/>
  <c r="D347" i="7" s="1"/>
  <c r="E347" i="7" s="1"/>
  <c r="AG61" i="7"/>
  <c r="D61" i="7" s="1"/>
  <c r="E61" i="7" s="1"/>
  <c r="AG345" i="7"/>
  <c r="D345" i="7" s="1"/>
  <c r="E345" i="7" s="1"/>
  <c r="AG344" i="7"/>
  <c r="D344" i="7" s="1"/>
  <c r="E344" i="7" s="1"/>
  <c r="AG58" i="7"/>
  <c r="D58" i="7" s="1"/>
  <c r="E58" i="7" s="1"/>
  <c r="AG342" i="7"/>
  <c r="D342" i="7" s="1"/>
  <c r="E342" i="7" s="1"/>
  <c r="AG341" i="7"/>
  <c r="D341" i="7" s="1"/>
  <c r="E341" i="7" s="1"/>
  <c r="AG55" i="7"/>
  <c r="D55" i="7" s="1"/>
  <c r="E55" i="7" s="1"/>
  <c r="AG339" i="7"/>
  <c r="D339" i="7" s="1"/>
  <c r="E339" i="7" s="1"/>
  <c r="AG338" i="7"/>
  <c r="D338" i="7" s="1"/>
  <c r="E338" i="7" s="1"/>
  <c r="AG52" i="7"/>
  <c r="D52" i="7" s="1"/>
  <c r="E52" i="7" s="1"/>
  <c r="AG336" i="7"/>
  <c r="D336" i="7" s="1"/>
  <c r="E336" i="7" s="1"/>
  <c r="AG335" i="7"/>
  <c r="D335" i="7" s="1"/>
  <c r="E335" i="7" s="1"/>
  <c r="AG49" i="7"/>
  <c r="D49" i="7" s="1"/>
  <c r="E49" i="7" s="1"/>
  <c r="AG333" i="7"/>
  <c r="D333" i="7" s="1"/>
  <c r="E333" i="7" s="1"/>
  <c r="AG332" i="7"/>
  <c r="D332" i="7" s="1"/>
  <c r="E332" i="7" s="1"/>
  <c r="AG46" i="7"/>
  <c r="D46" i="7" s="1"/>
  <c r="E46" i="7" s="1"/>
  <c r="AG330" i="7"/>
  <c r="D330" i="7" s="1"/>
  <c r="E330" i="7" s="1"/>
  <c r="AG329" i="7"/>
  <c r="D329" i="7" s="1"/>
  <c r="E329" i="7" s="1"/>
  <c r="AG43" i="7"/>
  <c r="D43" i="7" s="1"/>
  <c r="E43" i="7" s="1"/>
  <c r="AG327" i="7"/>
  <c r="D327" i="7" s="1"/>
  <c r="E327" i="7" s="1"/>
  <c r="AG326" i="7"/>
  <c r="D326" i="7" s="1"/>
  <c r="E326" i="7" s="1"/>
  <c r="AG40" i="7"/>
  <c r="D40" i="7" s="1"/>
  <c r="E40" i="7" s="1"/>
  <c r="AG324" i="7"/>
  <c r="D324" i="7" s="1"/>
  <c r="E324" i="7" s="1"/>
  <c r="AG323" i="7"/>
  <c r="D323" i="7" s="1"/>
  <c r="E323" i="7" s="1"/>
  <c r="AG37" i="7"/>
  <c r="D37" i="7" s="1"/>
  <c r="E37" i="7" s="1"/>
  <c r="AG321" i="7"/>
  <c r="D321" i="7" s="1"/>
  <c r="E321" i="7" s="1"/>
  <c r="AG320" i="7"/>
  <c r="D320" i="7" s="1"/>
  <c r="E320" i="7" s="1"/>
  <c r="AG34" i="7"/>
  <c r="D34" i="7" s="1"/>
  <c r="E34" i="7" s="1"/>
  <c r="AG318" i="7"/>
  <c r="D318" i="7" s="1"/>
  <c r="E318" i="7" s="1"/>
  <c r="AG317" i="7"/>
  <c r="D317" i="7" s="1"/>
  <c r="E317" i="7" s="1"/>
  <c r="AG31" i="7"/>
  <c r="D31" i="7" s="1"/>
  <c r="E31" i="7" s="1"/>
  <c r="AG315" i="7"/>
  <c r="D315" i="7" s="1"/>
  <c r="E315" i="7" s="1"/>
  <c r="AG314" i="7"/>
  <c r="D314" i="7" s="1"/>
  <c r="E314" i="7" s="1"/>
  <c r="AG28" i="7"/>
  <c r="D28" i="7" s="1"/>
  <c r="E28" i="7" s="1"/>
  <c r="AG312" i="7"/>
  <c r="D312" i="7" s="1"/>
  <c r="E312" i="7" s="1"/>
  <c r="AG311" i="7"/>
  <c r="D311" i="7" s="1"/>
  <c r="E311" i="7" s="1"/>
  <c r="AG25" i="7"/>
  <c r="D25" i="7" s="1"/>
  <c r="E25" i="7" s="1"/>
  <c r="AG309" i="7"/>
  <c r="D309" i="7" s="1"/>
  <c r="E309" i="7" s="1"/>
  <c r="AG308" i="7"/>
  <c r="D308" i="7" s="1"/>
  <c r="E308" i="7" s="1"/>
  <c r="AG22" i="7"/>
  <c r="D22" i="7" s="1"/>
  <c r="E22" i="7" s="1"/>
  <c r="AG306" i="7"/>
  <c r="D306" i="7" s="1"/>
  <c r="E306" i="7" s="1"/>
  <c r="AG305" i="7"/>
  <c r="D305" i="7" s="1"/>
  <c r="E305" i="7" s="1"/>
  <c r="AG19" i="7"/>
  <c r="D19" i="7" s="1"/>
  <c r="E19" i="7" s="1"/>
  <c r="AG303" i="7"/>
  <c r="D303" i="7" s="1"/>
  <c r="E303" i="7" s="1"/>
  <c r="AG302" i="7"/>
  <c r="D302" i="7" s="1"/>
  <c r="E302" i="7" s="1"/>
  <c r="AG16" i="7"/>
  <c r="D16" i="7" s="1"/>
  <c r="E16" i="7" s="1"/>
  <c r="AG300" i="7"/>
  <c r="D300" i="7" s="1"/>
  <c r="E300" i="7" s="1"/>
  <c r="AG299" i="7"/>
  <c r="D299" i="7" s="1"/>
  <c r="E299" i="7" s="1"/>
  <c r="AG13" i="7"/>
  <c r="D13" i="7" s="1"/>
  <c r="E13" i="7" s="1"/>
  <c r="AG297" i="7"/>
  <c r="D297" i="7" s="1"/>
  <c r="E297" i="7" s="1"/>
  <c r="AG296" i="7"/>
  <c r="D296" i="7" s="1"/>
  <c r="E296" i="7" s="1"/>
  <c r="AG10" i="7"/>
  <c r="D10" i="7" s="1"/>
  <c r="E10" i="7" s="1"/>
  <c r="AG294" i="7"/>
  <c r="D294" i="7" s="1"/>
  <c r="E294" i="7" s="1"/>
  <c r="AG293" i="7"/>
  <c r="D293" i="7" s="1"/>
  <c r="E293" i="7" s="1"/>
  <c r="AG7" i="7"/>
  <c r="D7" i="7" s="1"/>
  <c r="E7" i="7" s="1"/>
  <c r="AG291" i="7"/>
  <c r="D291" i="7" s="1"/>
  <c r="E291" i="7" s="1"/>
  <c r="AG290" i="7"/>
  <c r="D290" i="7" s="1"/>
  <c r="E290" i="7" s="1"/>
  <c r="AG4" i="7"/>
  <c r="D4" i="7" s="1"/>
  <c r="E4" i="7" s="1"/>
  <c r="AG288" i="7"/>
  <c r="D288" i="7" s="1"/>
  <c r="E288" i="7" s="1"/>
  <c r="AG287" i="7"/>
  <c r="D287" i="7" s="1"/>
  <c r="E287" i="7" s="1"/>
  <c r="AG91" i="7"/>
  <c r="D91" i="7" s="1"/>
  <c r="E91" i="7" s="1"/>
  <c r="AG285" i="7"/>
  <c r="D285" i="7" s="1"/>
  <c r="E285" i="7" s="1"/>
  <c r="AG284" i="7"/>
  <c r="D284" i="7" s="1"/>
  <c r="E284" i="7" s="1"/>
  <c r="AG94" i="7"/>
  <c r="D94" i="7" s="1"/>
  <c r="E94" i="7" s="1"/>
  <c r="AG282" i="7"/>
  <c r="D282" i="7" s="1"/>
  <c r="E282" i="7" s="1"/>
  <c r="AG281" i="7"/>
  <c r="D281" i="7" s="1"/>
  <c r="E281" i="7" s="1"/>
  <c r="AG97" i="7"/>
  <c r="D97" i="7" s="1"/>
  <c r="E97" i="7" s="1"/>
  <c r="AG279" i="7"/>
  <c r="D279" i="7" s="1"/>
  <c r="E279" i="7" s="1"/>
  <c r="AG278" i="7"/>
  <c r="D278" i="7" s="1"/>
  <c r="E278" i="7" s="1"/>
  <c r="AG100" i="7"/>
  <c r="D100" i="7" s="1"/>
  <c r="E100" i="7" s="1"/>
  <c r="AG276" i="7"/>
  <c r="D276" i="7" s="1"/>
  <c r="E276" i="7" s="1"/>
  <c r="AG275" i="7"/>
  <c r="D275" i="7" s="1"/>
  <c r="E275" i="7" s="1"/>
  <c r="AG103" i="7"/>
  <c r="D103" i="7" s="1"/>
  <c r="E103" i="7" s="1"/>
  <c r="AG273" i="7"/>
  <c r="D273" i="7" s="1"/>
  <c r="E273" i="7" s="1"/>
  <c r="AG272" i="7"/>
  <c r="D272" i="7" s="1"/>
  <c r="E272" i="7" s="1"/>
  <c r="AG106" i="7"/>
  <c r="D106" i="7" s="1"/>
  <c r="E106" i="7" s="1"/>
  <c r="AG270" i="7"/>
  <c r="D270" i="7" s="1"/>
  <c r="E270" i="7" s="1"/>
  <c r="AG269" i="7"/>
  <c r="D269" i="7" s="1"/>
  <c r="E269" i="7" s="1"/>
  <c r="AG109" i="7"/>
  <c r="D109" i="7" s="1"/>
  <c r="E109" i="7" s="1"/>
  <c r="AG267" i="7"/>
  <c r="D267" i="7" s="1"/>
  <c r="E267" i="7" s="1"/>
  <c r="AG266" i="7"/>
  <c r="D266" i="7" s="1"/>
  <c r="E266" i="7" s="1"/>
  <c r="AG112" i="7"/>
  <c r="D112" i="7" s="1"/>
  <c r="E112" i="7" s="1"/>
  <c r="AF112" i="7"/>
  <c r="AE112" i="7"/>
  <c r="AD112" i="7"/>
  <c r="AC112" i="7"/>
  <c r="AB112" i="7"/>
  <c r="AA112" i="7"/>
  <c r="Z112" i="7"/>
  <c r="Y112" i="7"/>
  <c r="X112" i="7"/>
  <c r="V112" i="7"/>
  <c r="U112" i="7"/>
  <c r="T112" i="7"/>
  <c r="S112" i="7"/>
  <c r="R112" i="7"/>
  <c r="Q112" i="7"/>
  <c r="P112" i="7"/>
  <c r="O112" i="7"/>
  <c r="N112" i="7"/>
  <c r="M112" i="7"/>
  <c r="L112" i="7"/>
  <c r="K112" i="7"/>
  <c r="J112" i="7"/>
  <c r="I112" i="7"/>
  <c r="H112" i="7"/>
  <c r="G112" i="7"/>
  <c r="F112" i="7"/>
  <c r="AG264" i="7"/>
  <c r="D264" i="7" s="1"/>
  <c r="E264" i="7" s="1"/>
  <c r="AF264" i="7"/>
  <c r="AE264" i="7"/>
  <c r="AD264" i="7"/>
  <c r="AC264" i="7"/>
  <c r="AB264" i="7"/>
  <c r="AA264" i="7"/>
  <c r="Z264" i="7"/>
  <c r="Y264" i="7"/>
  <c r="X264" i="7"/>
  <c r="V264" i="7"/>
  <c r="U264" i="7"/>
  <c r="T264" i="7"/>
  <c r="S264" i="7"/>
  <c r="R264" i="7"/>
  <c r="Q264" i="7"/>
  <c r="P264" i="7"/>
  <c r="O264" i="7"/>
  <c r="N264" i="7"/>
  <c r="M264" i="7"/>
  <c r="L264" i="7"/>
  <c r="K264" i="7"/>
  <c r="J264" i="7"/>
  <c r="I264" i="7"/>
  <c r="H264" i="7"/>
  <c r="G264" i="7"/>
  <c r="F264" i="7"/>
  <c r="AG263" i="7"/>
  <c r="D263" i="7" s="1"/>
  <c r="E263" i="7" s="1"/>
  <c r="AF263" i="7"/>
  <c r="AE263" i="7"/>
  <c r="AD263" i="7"/>
  <c r="AC263" i="7"/>
  <c r="AB263" i="7"/>
  <c r="AA263" i="7"/>
  <c r="Z263" i="7"/>
  <c r="AA3" i="3" s="1"/>
  <c r="Y263" i="7"/>
  <c r="X263" i="7"/>
  <c r="V263" i="7"/>
  <c r="U263" i="7"/>
  <c r="T263" i="7"/>
  <c r="S263" i="7"/>
  <c r="R263" i="7"/>
  <c r="Q263" i="7"/>
  <c r="P263" i="7"/>
  <c r="Q3" i="3" s="1"/>
  <c r="O263" i="7"/>
  <c r="N263" i="7"/>
  <c r="M263" i="7"/>
  <c r="N3" i="3" s="1"/>
  <c r="L263" i="7"/>
  <c r="M3" i="3" s="1"/>
  <c r="K263" i="7"/>
  <c r="J263" i="7"/>
  <c r="I263" i="7"/>
  <c r="J3" i="3" s="1"/>
  <c r="H263" i="7"/>
  <c r="I3" i="3" s="1"/>
  <c r="G263" i="7"/>
  <c r="F263" i="7"/>
  <c r="AG115" i="7"/>
  <c r="D115" i="7" s="1"/>
  <c r="E115" i="7" s="1"/>
  <c r="AF115" i="7"/>
  <c r="AE115" i="7"/>
  <c r="AD115" i="7"/>
  <c r="AC115" i="7"/>
  <c r="AB115" i="7"/>
  <c r="AA115" i="7"/>
  <c r="Y115" i="7"/>
  <c r="V115" i="7"/>
  <c r="U115" i="7"/>
  <c r="T115" i="7"/>
  <c r="S115" i="7"/>
  <c r="Q115" i="7"/>
  <c r="G115" i="7"/>
  <c r="AG261" i="7"/>
  <c r="D261" i="7" s="1"/>
  <c r="E261" i="7" s="1"/>
  <c r="AF261" i="7"/>
  <c r="AE261" i="7"/>
  <c r="AD261" i="7"/>
  <c r="AC261" i="7"/>
  <c r="AB261" i="7"/>
  <c r="AA261" i="7"/>
  <c r="Y261" i="7"/>
  <c r="V261" i="7"/>
  <c r="U261" i="7"/>
  <c r="T261" i="7"/>
  <c r="S261" i="7"/>
  <c r="Q261" i="7"/>
  <c r="G261" i="7"/>
  <c r="AG260" i="7"/>
  <c r="D260" i="7" s="1"/>
  <c r="E260" i="7" s="1"/>
  <c r="AF260" i="7"/>
  <c r="AE260" i="7"/>
  <c r="AD260" i="7"/>
  <c r="AC260" i="7"/>
  <c r="AD3" i="3" s="1"/>
  <c r="AB260" i="7"/>
  <c r="AA260" i="7"/>
  <c r="Y260" i="7"/>
  <c r="V260" i="7"/>
  <c r="W3" i="3" s="1"/>
  <c r="U260" i="7"/>
  <c r="V3" i="3" s="1"/>
  <c r="T260" i="7"/>
  <c r="U3" i="3" s="1"/>
  <c r="S260" i="7"/>
  <c r="T3" i="3" s="1"/>
  <c r="Q260" i="7"/>
  <c r="R3" i="3" s="1"/>
  <c r="G260" i="7"/>
  <c r="AG118" i="7"/>
  <c r="D118" i="7" s="1"/>
  <c r="E118" i="7" s="1"/>
  <c r="AG258" i="7"/>
  <c r="D258" i="7" s="1"/>
  <c r="E258" i="7" s="1"/>
  <c r="AG257" i="7"/>
  <c r="D257" i="7" s="1"/>
  <c r="E257" i="7" s="1"/>
  <c r="AG121" i="7"/>
  <c r="D121" i="7" s="1"/>
  <c r="E121" i="7" s="1"/>
  <c r="AG255" i="7"/>
  <c r="D255" i="7" s="1"/>
  <c r="E255" i="7" s="1"/>
  <c r="AG254" i="7"/>
  <c r="D254" i="7" s="1"/>
  <c r="E254" i="7" s="1"/>
  <c r="AG124" i="7"/>
  <c r="D124" i="7" s="1"/>
  <c r="E124" i="7" s="1"/>
  <c r="AG252" i="7"/>
  <c r="D252" i="7" s="1"/>
  <c r="E252" i="7" s="1"/>
  <c r="AG251" i="7"/>
  <c r="D251" i="7" s="1"/>
  <c r="E251" i="7" s="1"/>
  <c r="AG127" i="7"/>
  <c r="D127" i="7" s="1"/>
  <c r="E127" i="7" s="1"/>
  <c r="AG249" i="7"/>
  <c r="D249" i="7" s="1"/>
  <c r="E249" i="7" s="1"/>
  <c r="AG248" i="7"/>
  <c r="D248" i="7" s="1"/>
  <c r="E248" i="7" s="1"/>
  <c r="AG130" i="7"/>
  <c r="D130" i="7" s="1"/>
  <c r="E130" i="7" s="1"/>
  <c r="AG246" i="7"/>
  <c r="D246" i="7" s="1"/>
  <c r="E246" i="7" s="1"/>
  <c r="AG245" i="7"/>
  <c r="D245" i="7" s="1"/>
  <c r="E245" i="7" s="1"/>
  <c r="AG133" i="7"/>
  <c r="D133" i="7" s="1"/>
  <c r="E133" i="7" s="1"/>
  <c r="AG243" i="7"/>
  <c r="D243" i="7" s="1"/>
  <c r="E243" i="7" s="1"/>
  <c r="AG242" i="7"/>
  <c r="D242" i="7" s="1"/>
  <c r="E242" i="7" s="1"/>
  <c r="AG136" i="7"/>
  <c r="D136" i="7" s="1"/>
  <c r="E136" i="7" s="1"/>
  <c r="AG240" i="7"/>
  <c r="D240" i="7" s="1"/>
  <c r="E240" i="7" s="1"/>
  <c r="AG239" i="7"/>
  <c r="D239" i="7" s="1"/>
  <c r="E239" i="7" s="1"/>
  <c r="AG139" i="7"/>
  <c r="D139" i="7" s="1"/>
  <c r="E139" i="7" s="1"/>
  <c r="AG237" i="7"/>
  <c r="D237" i="7" s="1"/>
  <c r="E237" i="7" s="1"/>
  <c r="AG236" i="7"/>
  <c r="D236" i="7" s="1"/>
  <c r="E236" i="7" s="1"/>
  <c r="AG142" i="7"/>
  <c r="D142" i="7" s="1"/>
  <c r="E142" i="7" s="1"/>
  <c r="AG234" i="7"/>
  <c r="D234" i="7" s="1"/>
  <c r="E234" i="7" s="1"/>
  <c r="AG233" i="7"/>
  <c r="D233" i="7" s="1"/>
  <c r="E233" i="7" s="1"/>
  <c r="AG145" i="7"/>
  <c r="D145" i="7" s="1"/>
  <c r="E145" i="7" s="1"/>
  <c r="AG231" i="7"/>
  <c r="D231" i="7" s="1"/>
  <c r="E231" i="7" s="1"/>
  <c r="AG230" i="7"/>
  <c r="D230" i="7" s="1"/>
  <c r="E230" i="7" s="1"/>
  <c r="AG148" i="7"/>
  <c r="D148" i="7" s="1"/>
  <c r="E148" i="7" s="1"/>
  <c r="AG228" i="7"/>
  <c r="D228" i="7" s="1"/>
  <c r="E228" i="7" s="1"/>
  <c r="AG227" i="7"/>
  <c r="D227" i="7" s="1"/>
  <c r="E227" i="7" s="1"/>
  <c r="AG151" i="7"/>
  <c r="D151" i="7" s="1"/>
  <c r="E151" i="7" s="1"/>
  <c r="AG225" i="7"/>
  <c r="D225" i="7" s="1"/>
  <c r="E225" i="7" s="1"/>
  <c r="AG224" i="7"/>
  <c r="D224" i="7" s="1"/>
  <c r="E224" i="7" s="1"/>
  <c r="AG154" i="7"/>
  <c r="D154" i="7" s="1"/>
  <c r="E154" i="7" s="1"/>
  <c r="AG222" i="7"/>
  <c r="D222" i="7" s="1"/>
  <c r="E222" i="7" s="1"/>
  <c r="AG221" i="7"/>
  <c r="D221" i="7" s="1"/>
  <c r="E221" i="7" s="1"/>
  <c r="AG157" i="7"/>
  <c r="D157" i="7" s="1"/>
  <c r="E157" i="7" s="1"/>
  <c r="AG219" i="7"/>
  <c r="D219" i="7" s="1"/>
  <c r="E219" i="7" s="1"/>
  <c r="AG218" i="7"/>
  <c r="D218" i="7" s="1"/>
  <c r="E218" i="7" s="1"/>
  <c r="AG160" i="7"/>
  <c r="D160" i="7" s="1"/>
  <c r="E160" i="7" s="1"/>
  <c r="AG216" i="7"/>
  <c r="D216" i="7" s="1"/>
  <c r="E216" i="7" s="1"/>
  <c r="AG215" i="7"/>
  <c r="D215" i="7" s="1"/>
  <c r="E215" i="7" s="1"/>
  <c r="AG163" i="7"/>
  <c r="D163" i="7" s="1"/>
  <c r="E163" i="7" s="1"/>
  <c r="AG213" i="7"/>
  <c r="D213" i="7" s="1"/>
  <c r="E213" i="7" s="1"/>
  <c r="AG212" i="7"/>
  <c r="D212" i="7" s="1"/>
  <c r="E212" i="7" s="1"/>
  <c r="AG166" i="7"/>
  <c r="D166" i="7" s="1"/>
  <c r="E166" i="7" s="1"/>
  <c r="AG210" i="7"/>
  <c r="D210" i="7" s="1"/>
  <c r="E210" i="7" s="1"/>
  <c r="AG209" i="7"/>
  <c r="D209" i="7" s="1"/>
  <c r="E209" i="7" s="1"/>
  <c r="AG169" i="7"/>
  <c r="D169" i="7" s="1"/>
  <c r="E169" i="7" s="1"/>
  <c r="AG207" i="7"/>
  <c r="D207" i="7" s="1"/>
  <c r="E207" i="7" s="1"/>
  <c r="AG206" i="7"/>
  <c r="D206" i="7" s="1"/>
  <c r="E206" i="7" s="1"/>
  <c r="AG172" i="7"/>
  <c r="D172" i="7" s="1"/>
  <c r="E172" i="7" s="1"/>
  <c r="AG204" i="7"/>
  <c r="D204" i="7" s="1"/>
  <c r="E204" i="7" s="1"/>
  <c r="AG203" i="7"/>
  <c r="D203" i="7" s="1"/>
  <c r="E203" i="7" s="1"/>
  <c r="AG175" i="7"/>
  <c r="D175" i="7" s="1"/>
  <c r="E175" i="7" s="1"/>
  <c r="AG201" i="7"/>
  <c r="D201" i="7" s="1"/>
  <c r="E201" i="7" s="1"/>
  <c r="AG200" i="7"/>
  <c r="D200" i="7" s="1"/>
  <c r="E200" i="7" s="1"/>
  <c r="AG178" i="7"/>
  <c r="D178" i="7" s="1"/>
  <c r="E178" i="7" s="1"/>
  <c r="AG198" i="7"/>
  <c r="D198" i="7" s="1"/>
  <c r="E198" i="7" s="1"/>
  <c r="AG197" i="7"/>
  <c r="D197" i="7" s="1"/>
  <c r="E197" i="7" s="1"/>
  <c r="AG181" i="7"/>
  <c r="D181" i="7" s="1"/>
  <c r="E181" i="7" s="1"/>
  <c r="AG195" i="7"/>
  <c r="D195" i="7" s="1"/>
  <c r="E195" i="7" s="1"/>
  <c r="AG194" i="7"/>
  <c r="D194" i="7" s="1"/>
  <c r="E194" i="7" s="1"/>
  <c r="AG184" i="7"/>
  <c r="D184" i="7" s="1"/>
  <c r="E184" i="7" s="1"/>
  <c r="AG192" i="7"/>
  <c r="D192" i="7" s="1"/>
  <c r="E192" i="7" s="1"/>
  <c r="AG191" i="7"/>
  <c r="D191" i="7" s="1"/>
  <c r="E191" i="7" s="1"/>
  <c r="AG187" i="7"/>
  <c r="D187" i="7" s="1"/>
  <c r="E187" i="7" s="1"/>
  <c r="AG189" i="7"/>
  <c r="D189" i="7" s="1"/>
  <c r="E189" i="7" s="1"/>
  <c r="AG188" i="7"/>
  <c r="D188" i="7" s="1"/>
  <c r="E188" i="7" s="1"/>
  <c r="AG190" i="7"/>
  <c r="D190" i="7" s="1"/>
  <c r="E190" i="7" s="1"/>
  <c r="AG186" i="7"/>
  <c r="D186" i="7" s="1"/>
  <c r="E186" i="7" s="1"/>
  <c r="AG185" i="7"/>
  <c r="D185" i="7" s="1"/>
  <c r="E185" i="7" s="1"/>
  <c r="AG193" i="7"/>
  <c r="D193" i="7" s="1"/>
  <c r="E193" i="7" s="1"/>
  <c r="AG183" i="7"/>
  <c r="D183" i="7" s="1"/>
  <c r="E183" i="7" s="1"/>
  <c r="AG182" i="7"/>
  <c r="D182" i="7" s="1"/>
  <c r="E182" i="7" s="1"/>
  <c r="AG196" i="7"/>
  <c r="D196" i="7" s="1"/>
  <c r="E196" i="7" s="1"/>
  <c r="AG180" i="7"/>
  <c r="D180" i="7" s="1"/>
  <c r="E180" i="7" s="1"/>
  <c r="AG179" i="7"/>
  <c r="D179" i="7" s="1"/>
  <c r="E179" i="7" s="1"/>
  <c r="AG199" i="7"/>
  <c r="D199" i="7" s="1"/>
  <c r="E199" i="7" s="1"/>
  <c r="AG177" i="7"/>
  <c r="D177" i="7" s="1"/>
  <c r="E177" i="7" s="1"/>
  <c r="AG176" i="7"/>
  <c r="D176" i="7" s="1"/>
  <c r="E176" i="7" s="1"/>
  <c r="AG202" i="7"/>
  <c r="D202" i="7" s="1"/>
  <c r="E202" i="7" s="1"/>
  <c r="AG174" i="7"/>
  <c r="D174" i="7" s="1"/>
  <c r="E174" i="7" s="1"/>
  <c r="AG173" i="7"/>
  <c r="D173" i="7" s="1"/>
  <c r="E173" i="7" s="1"/>
  <c r="AG205" i="7"/>
  <c r="D205" i="7" s="1"/>
  <c r="E205" i="7" s="1"/>
  <c r="AG171" i="7"/>
  <c r="D171" i="7" s="1"/>
  <c r="E171" i="7" s="1"/>
  <c r="AG170" i="7"/>
  <c r="D170" i="7" s="1"/>
  <c r="E170" i="7" s="1"/>
  <c r="AG208" i="7"/>
  <c r="D208" i="7" s="1"/>
  <c r="E208" i="7" s="1"/>
  <c r="AG168" i="7"/>
  <c r="D168" i="7" s="1"/>
  <c r="E168" i="7" s="1"/>
  <c r="AG167" i="7"/>
  <c r="D167" i="7" s="1"/>
  <c r="E167" i="7" s="1"/>
  <c r="AG211" i="7"/>
  <c r="D211" i="7" s="1"/>
  <c r="E211" i="7" s="1"/>
  <c r="AG165" i="7"/>
  <c r="D165" i="7" s="1"/>
  <c r="E165" i="7" s="1"/>
  <c r="AG164" i="7"/>
  <c r="D164" i="7" s="1"/>
  <c r="E164" i="7" s="1"/>
  <c r="AG214" i="7"/>
  <c r="D214" i="7" s="1"/>
  <c r="E214" i="7" s="1"/>
  <c r="AG162" i="7"/>
  <c r="D162" i="7" s="1"/>
  <c r="E162" i="7" s="1"/>
  <c r="AG161" i="7"/>
  <c r="D161" i="7" s="1"/>
  <c r="E161" i="7" s="1"/>
  <c r="AG217" i="7"/>
  <c r="D217" i="7" s="1"/>
  <c r="E217" i="7" s="1"/>
  <c r="AG159" i="7"/>
  <c r="D159" i="7" s="1"/>
  <c r="E159" i="7" s="1"/>
  <c r="AG158" i="7"/>
  <c r="D158" i="7" s="1"/>
  <c r="E158" i="7" s="1"/>
  <c r="AG220" i="7"/>
  <c r="D220" i="7" s="1"/>
  <c r="E220" i="7" s="1"/>
  <c r="AG156" i="7"/>
  <c r="D156" i="7" s="1"/>
  <c r="E156" i="7" s="1"/>
  <c r="AG155" i="7"/>
  <c r="D155" i="7" s="1"/>
  <c r="E155" i="7" s="1"/>
  <c r="AG223" i="7"/>
  <c r="D223" i="7" s="1"/>
  <c r="E223" i="7" s="1"/>
  <c r="AG153" i="7"/>
  <c r="D153" i="7" s="1"/>
  <c r="E153" i="7" s="1"/>
  <c r="AG152" i="7"/>
  <c r="D152" i="7" s="1"/>
  <c r="E152" i="7" s="1"/>
  <c r="AG226" i="7"/>
  <c r="D226" i="7" s="1"/>
  <c r="E226" i="7" s="1"/>
  <c r="AG150" i="7"/>
  <c r="D150" i="7" s="1"/>
  <c r="E150" i="7" s="1"/>
  <c r="AG149" i="7"/>
  <c r="D149" i="7" s="1"/>
  <c r="E149" i="7" s="1"/>
  <c r="AG229" i="7"/>
  <c r="D229" i="7" s="1"/>
  <c r="E229" i="7" s="1"/>
  <c r="AG147" i="7"/>
  <c r="D147" i="7" s="1"/>
  <c r="E147" i="7" s="1"/>
  <c r="AG146" i="7"/>
  <c r="D146" i="7" s="1"/>
  <c r="E146" i="7" s="1"/>
  <c r="AG232" i="7"/>
  <c r="D232" i="7" s="1"/>
  <c r="E232" i="7" s="1"/>
  <c r="AG144" i="7"/>
  <c r="D144" i="7" s="1"/>
  <c r="E144" i="7" s="1"/>
  <c r="AG143" i="7"/>
  <c r="D143" i="7" s="1"/>
  <c r="E143" i="7" s="1"/>
  <c r="AG235" i="7"/>
  <c r="D235" i="7" s="1"/>
  <c r="E235" i="7" s="1"/>
  <c r="AG141" i="7"/>
  <c r="D141" i="7" s="1"/>
  <c r="E141" i="7" s="1"/>
  <c r="AG140" i="7"/>
  <c r="D140" i="7" s="1"/>
  <c r="E140" i="7" s="1"/>
  <c r="AG238" i="7"/>
  <c r="D238" i="7" s="1"/>
  <c r="E238" i="7" s="1"/>
  <c r="AG138" i="7"/>
  <c r="D138" i="7" s="1"/>
  <c r="E138" i="7" s="1"/>
  <c r="AG137" i="7"/>
  <c r="D137" i="7" s="1"/>
  <c r="E137" i="7" s="1"/>
  <c r="AG241" i="7"/>
  <c r="D241" i="7" s="1"/>
  <c r="E241" i="7" s="1"/>
  <c r="AG135" i="7"/>
  <c r="D135" i="7" s="1"/>
  <c r="E135" i="7" s="1"/>
  <c r="AG134" i="7"/>
  <c r="D134" i="7" s="1"/>
  <c r="E134" i="7" s="1"/>
  <c r="AG244" i="7"/>
  <c r="D244" i="7" s="1"/>
  <c r="E244" i="7" s="1"/>
  <c r="AG132" i="7"/>
  <c r="D132" i="7" s="1"/>
  <c r="E132" i="7" s="1"/>
  <c r="AG131" i="7"/>
  <c r="D131" i="7" s="1"/>
  <c r="E131" i="7" s="1"/>
  <c r="AG247" i="7"/>
  <c r="D247" i="7" s="1"/>
  <c r="E247" i="7" s="1"/>
  <c r="AG129" i="7"/>
  <c r="D129" i="7" s="1"/>
  <c r="E129" i="7" s="1"/>
  <c r="AG128" i="7"/>
  <c r="D128" i="7" s="1"/>
  <c r="E128" i="7" s="1"/>
  <c r="AG250" i="7"/>
  <c r="D250" i="7" s="1"/>
  <c r="E250" i="7" s="1"/>
  <c r="AG126" i="7"/>
  <c r="D126" i="7" s="1"/>
  <c r="E126" i="7" s="1"/>
  <c r="AG125" i="7"/>
  <c r="D125" i="7" s="1"/>
  <c r="E125" i="7" s="1"/>
  <c r="AG253" i="7"/>
  <c r="D253" i="7" s="1"/>
  <c r="E253" i="7" s="1"/>
  <c r="AG123" i="7"/>
  <c r="D123" i="7" s="1"/>
  <c r="E123" i="7" s="1"/>
  <c r="AG122" i="7"/>
  <c r="D122" i="7" s="1"/>
  <c r="E122" i="7" s="1"/>
  <c r="AG256" i="7"/>
  <c r="D256" i="7" s="1"/>
  <c r="E256" i="7" s="1"/>
  <c r="AG120" i="7"/>
  <c r="D120" i="7" s="1"/>
  <c r="E120" i="7" s="1"/>
  <c r="AG119" i="7"/>
  <c r="D119" i="7" s="1"/>
  <c r="E119" i="7" s="1"/>
  <c r="AG259" i="7"/>
  <c r="D259" i="7" s="1"/>
  <c r="E259" i="7" s="1"/>
  <c r="AG117" i="7"/>
  <c r="D117" i="7" s="1"/>
  <c r="E117" i="7" s="1"/>
  <c r="AG116" i="7"/>
  <c r="D116" i="7" s="1"/>
  <c r="E116" i="7" s="1"/>
  <c r="AG262" i="7"/>
  <c r="D262" i="7" s="1"/>
  <c r="E262" i="7" s="1"/>
  <c r="AG114" i="7"/>
  <c r="D114" i="7" s="1"/>
  <c r="E114" i="7" s="1"/>
  <c r="AG113" i="7"/>
  <c r="D113" i="7" s="1"/>
  <c r="E113" i="7" s="1"/>
  <c r="AG265" i="7"/>
  <c r="D265" i="7" s="1"/>
  <c r="E265" i="7" s="1"/>
  <c r="AG111" i="7"/>
  <c r="D111" i="7" s="1"/>
  <c r="E111" i="7" s="1"/>
  <c r="AG110" i="7"/>
  <c r="D110" i="7" s="1"/>
  <c r="E110" i="7" s="1"/>
  <c r="AG268" i="7"/>
  <c r="D268" i="7" s="1"/>
  <c r="E268" i="7" s="1"/>
  <c r="AG108" i="7"/>
  <c r="D108" i="7" s="1"/>
  <c r="E108" i="7" s="1"/>
  <c r="AG107" i="7"/>
  <c r="D107" i="7" s="1"/>
  <c r="E107" i="7" s="1"/>
  <c r="AG271" i="7"/>
  <c r="D271" i="7" s="1"/>
  <c r="E271" i="7" s="1"/>
  <c r="AG105" i="7"/>
  <c r="D105" i="7" s="1"/>
  <c r="E105" i="7" s="1"/>
  <c r="AG104" i="7"/>
  <c r="D104" i="7" s="1"/>
  <c r="E104" i="7" s="1"/>
  <c r="AG274" i="7"/>
  <c r="D274" i="7" s="1"/>
  <c r="E274" i="7" s="1"/>
  <c r="AG102" i="7"/>
  <c r="D102" i="7" s="1"/>
  <c r="E102" i="7" s="1"/>
  <c r="AG101" i="7"/>
  <c r="D101" i="7" s="1"/>
  <c r="E101" i="7" s="1"/>
  <c r="AG277" i="7"/>
  <c r="D277" i="7" s="1"/>
  <c r="E277" i="7" s="1"/>
  <c r="AG99" i="7"/>
  <c r="D99" i="7" s="1"/>
  <c r="E99" i="7" s="1"/>
  <c r="AG98" i="7"/>
  <c r="D98" i="7" s="1"/>
  <c r="E98" i="7" s="1"/>
  <c r="AG280" i="7"/>
  <c r="D280" i="7" s="1"/>
  <c r="E280" i="7" s="1"/>
  <c r="AG96" i="7"/>
  <c r="D96" i="7" s="1"/>
  <c r="E96" i="7" s="1"/>
  <c r="AG95" i="7"/>
  <c r="D95" i="7" s="1"/>
  <c r="E95" i="7" s="1"/>
  <c r="AG283" i="7"/>
  <c r="D283" i="7" s="1"/>
  <c r="E283" i="7" s="1"/>
  <c r="AG93" i="7"/>
  <c r="D93" i="7" s="1"/>
  <c r="E93" i="7" s="1"/>
  <c r="AG92" i="7"/>
  <c r="D92" i="7" s="1"/>
  <c r="E92" i="7" s="1"/>
  <c r="AG286" i="7"/>
  <c r="D286" i="7" s="1"/>
  <c r="E286" i="7" s="1"/>
  <c r="AG90" i="7"/>
  <c r="D90" i="7" s="1"/>
  <c r="E90" i="7" s="1"/>
  <c r="AG89" i="7"/>
  <c r="D89" i="7" s="1"/>
  <c r="E89" i="7" s="1"/>
  <c r="AG289" i="7"/>
  <c r="D289" i="7" s="1"/>
  <c r="E289" i="7" s="1"/>
  <c r="AG87" i="7"/>
  <c r="D87" i="7" s="1"/>
  <c r="E87" i="7" s="1"/>
  <c r="AG86" i="7"/>
  <c r="D86" i="7" s="1"/>
  <c r="E86" i="7" s="1"/>
  <c r="AG292" i="7"/>
  <c r="D292" i="7" s="1"/>
  <c r="E292" i="7" s="1"/>
  <c r="AG84" i="7"/>
  <c r="D84" i="7" s="1"/>
  <c r="E84" i="7" s="1"/>
  <c r="AG83" i="7"/>
  <c r="D83" i="7" s="1"/>
  <c r="E83" i="7" s="1"/>
  <c r="AG295" i="7"/>
  <c r="D295" i="7" s="1"/>
  <c r="E295" i="7" s="1"/>
  <c r="AG81" i="7"/>
  <c r="D81" i="7" s="1"/>
  <c r="E81" i="7" s="1"/>
  <c r="AG80" i="7"/>
  <c r="D80" i="7" s="1"/>
  <c r="E80" i="7" s="1"/>
  <c r="AG298" i="7"/>
  <c r="D298" i="7" s="1"/>
  <c r="E298" i="7" s="1"/>
  <c r="AG78" i="7"/>
  <c r="D78" i="7" s="1"/>
  <c r="E78" i="7" s="1"/>
  <c r="AG77" i="7"/>
  <c r="D77" i="7" s="1"/>
  <c r="E77" i="7" s="1"/>
  <c r="AG301" i="7"/>
  <c r="D301" i="7" s="1"/>
  <c r="E301" i="7" s="1"/>
  <c r="AG75" i="7"/>
  <c r="D75" i="7" s="1"/>
  <c r="E75" i="7" s="1"/>
  <c r="AG74" i="7"/>
  <c r="D74" i="7" s="1"/>
  <c r="E74" i="7" s="1"/>
  <c r="AG304" i="7"/>
  <c r="D304" i="7" s="1"/>
  <c r="E304" i="7" s="1"/>
  <c r="AG72" i="7"/>
  <c r="D72" i="7" s="1"/>
  <c r="E72" i="7" s="1"/>
  <c r="AG71" i="7"/>
  <c r="D71" i="7" s="1"/>
  <c r="E71" i="7" s="1"/>
  <c r="AG307" i="7"/>
  <c r="D307" i="7" s="1"/>
  <c r="E307" i="7" s="1"/>
  <c r="AG69" i="7"/>
  <c r="D69" i="7" s="1"/>
  <c r="E69" i="7" s="1"/>
  <c r="AG68" i="7"/>
  <c r="D68" i="7" s="1"/>
  <c r="E68" i="7" s="1"/>
  <c r="AG310" i="7"/>
  <c r="D310" i="7" s="1"/>
  <c r="E310" i="7" s="1"/>
  <c r="AG66" i="7"/>
  <c r="D66" i="7" s="1"/>
  <c r="E66" i="7" s="1"/>
  <c r="AG65" i="7"/>
  <c r="D65" i="7" s="1"/>
  <c r="E65" i="7" s="1"/>
  <c r="AG313" i="7"/>
  <c r="D313" i="7" s="1"/>
  <c r="E313" i="7" s="1"/>
  <c r="AG63" i="7"/>
  <c r="D63" i="7" s="1"/>
  <c r="E63" i="7" s="1"/>
  <c r="AG62" i="7"/>
  <c r="D62" i="7" s="1"/>
  <c r="E62" i="7" s="1"/>
  <c r="AG316" i="7"/>
  <c r="D316" i="7" s="1"/>
  <c r="E316" i="7" s="1"/>
  <c r="AG60" i="7"/>
  <c r="D60" i="7" s="1"/>
  <c r="E60" i="7" s="1"/>
  <c r="AG59" i="7"/>
  <c r="D59" i="7" s="1"/>
  <c r="E59" i="7" s="1"/>
  <c r="AG319" i="7"/>
  <c r="D319" i="7" s="1"/>
  <c r="E319" i="7" s="1"/>
  <c r="AG57" i="7"/>
  <c r="D57" i="7" s="1"/>
  <c r="E57" i="7" s="1"/>
  <c r="AG56" i="7"/>
  <c r="D56" i="7" s="1"/>
  <c r="E56" i="7" s="1"/>
  <c r="AG322" i="7"/>
  <c r="D322" i="7" s="1"/>
  <c r="E322" i="7" s="1"/>
  <c r="AG54" i="7"/>
  <c r="D54" i="7" s="1"/>
  <c r="E54" i="7" s="1"/>
  <c r="AG53" i="7"/>
  <c r="D53" i="7" s="1"/>
  <c r="E53" i="7" s="1"/>
  <c r="AG325" i="7"/>
  <c r="D325" i="7" s="1"/>
  <c r="E325" i="7" s="1"/>
  <c r="AG51" i="7"/>
  <c r="D51" i="7" s="1"/>
  <c r="E51" i="7" s="1"/>
  <c r="AG50" i="7"/>
  <c r="D50" i="7" s="1"/>
  <c r="E50" i="7" s="1"/>
  <c r="AG328" i="7"/>
  <c r="D328" i="7" s="1"/>
  <c r="E328" i="7" s="1"/>
  <c r="AG48" i="7"/>
  <c r="D48" i="7" s="1"/>
  <c r="E48" i="7" s="1"/>
  <c r="AG47" i="7"/>
  <c r="D47" i="7" s="1"/>
  <c r="E47" i="7" s="1"/>
  <c r="AG331" i="7"/>
  <c r="D331" i="7" s="1"/>
  <c r="E331" i="7" s="1"/>
  <c r="AG45" i="7"/>
  <c r="D45" i="7" s="1"/>
  <c r="E45" i="7" s="1"/>
  <c r="AG44" i="7"/>
  <c r="D44" i="7" s="1"/>
  <c r="E44" i="7" s="1"/>
  <c r="AG334" i="7"/>
  <c r="D334" i="7" s="1"/>
  <c r="E334" i="7" s="1"/>
  <c r="AG42" i="7"/>
  <c r="D42" i="7" s="1"/>
  <c r="E42" i="7" s="1"/>
  <c r="AG41" i="7"/>
  <c r="D41" i="7" s="1"/>
  <c r="E41" i="7" s="1"/>
  <c r="AG337" i="7"/>
  <c r="D337" i="7" s="1"/>
  <c r="E337" i="7" s="1"/>
  <c r="AG39" i="7"/>
  <c r="D39" i="7" s="1"/>
  <c r="E39" i="7" s="1"/>
  <c r="AG38" i="7"/>
  <c r="D38" i="7" s="1"/>
  <c r="E38" i="7" s="1"/>
  <c r="AG340" i="7"/>
  <c r="D340" i="7" s="1"/>
  <c r="E340" i="7" s="1"/>
  <c r="AG36" i="7"/>
  <c r="D36" i="7" s="1"/>
  <c r="E36" i="7" s="1"/>
  <c r="AG35" i="7"/>
  <c r="D35" i="7" s="1"/>
  <c r="E35" i="7" s="1"/>
  <c r="AG343" i="7"/>
  <c r="D343" i="7" s="1"/>
  <c r="E343" i="7" s="1"/>
  <c r="AG33" i="7"/>
  <c r="D33" i="7" s="1"/>
  <c r="E33" i="7" s="1"/>
  <c r="AG32" i="7"/>
  <c r="D32" i="7" s="1"/>
  <c r="E32" i="7" s="1"/>
  <c r="AG346" i="7"/>
  <c r="D346" i="7" s="1"/>
  <c r="E346" i="7" s="1"/>
  <c r="AG30" i="7"/>
  <c r="D30" i="7" s="1"/>
  <c r="E30" i="7" s="1"/>
  <c r="AG29" i="7"/>
  <c r="D29" i="7" s="1"/>
  <c r="E29" i="7" s="1"/>
  <c r="AG349" i="7"/>
  <c r="D349" i="7" s="1"/>
  <c r="E349" i="7" s="1"/>
  <c r="AG27" i="7"/>
  <c r="D27" i="7" s="1"/>
  <c r="E27" i="7" s="1"/>
  <c r="AG26" i="7"/>
  <c r="D26" i="7" s="1"/>
  <c r="E26" i="7" s="1"/>
  <c r="AG352" i="7"/>
  <c r="D352" i="7" s="1"/>
  <c r="E352" i="7" s="1"/>
  <c r="AG24" i="7"/>
  <c r="D24" i="7" s="1"/>
  <c r="E24" i="7" s="1"/>
  <c r="AG23" i="7"/>
  <c r="D23" i="7" s="1"/>
  <c r="E23" i="7" s="1"/>
  <c r="AG355" i="7"/>
  <c r="D355" i="7" s="1"/>
  <c r="E355" i="7" s="1"/>
  <c r="AG21" i="7"/>
  <c r="D21" i="7" s="1"/>
  <c r="E21" i="7" s="1"/>
  <c r="AG20" i="7"/>
  <c r="D20" i="7" s="1"/>
  <c r="E20" i="7" s="1"/>
  <c r="AG358" i="7"/>
  <c r="D358" i="7" s="1"/>
  <c r="E358" i="7" s="1"/>
  <c r="AG18" i="7"/>
  <c r="D18" i="7" s="1"/>
  <c r="E18" i="7" s="1"/>
  <c r="AG17" i="7"/>
  <c r="D17" i="7" s="1"/>
  <c r="E17" i="7" s="1"/>
  <c r="AG361" i="7"/>
  <c r="D361" i="7" s="1"/>
  <c r="E361" i="7" s="1"/>
  <c r="AG15" i="7"/>
  <c r="D15" i="7" s="1"/>
  <c r="E15" i="7" s="1"/>
  <c r="AG14" i="7"/>
  <c r="D14" i="7" s="1"/>
  <c r="E14" i="7" s="1"/>
  <c r="AG364" i="7"/>
  <c r="D364" i="7" s="1"/>
  <c r="E364" i="7" s="1"/>
  <c r="AG12" i="7"/>
  <c r="D12" i="7" s="1"/>
  <c r="E12" i="7" s="1"/>
  <c r="AG11" i="7"/>
  <c r="D11" i="7" s="1"/>
  <c r="E11" i="7" s="1"/>
  <c r="AG367" i="7"/>
  <c r="D367" i="7" s="1"/>
  <c r="E367" i="7" s="1"/>
  <c r="AG9" i="7"/>
  <c r="D9" i="7" s="1"/>
  <c r="E9" i="7" s="1"/>
  <c r="AG8" i="7"/>
  <c r="D8" i="7" s="1"/>
  <c r="E8" i="7" s="1"/>
  <c r="AG370" i="7"/>
  <c r="D370" i="7" s="1"/>
  <c r="E370" i="7" s="1"/>
  <c r="AG6" i="7"/>
  <c r="D6" i="7" s="1"/>
  <c r="E6" i="7" s="1"/>
  <c r="AG5" i="7"/>
  <c r="D5" i="7" s="1"/>
  <c r="E5" i="7" s="1"/>
  <c r="AG373" i="7"/>
  <c r="D373" i="7" s="1"/>
  <c r="E373" i="7" s="1"/>
  <c r="AG3" i="7"/>
  <c r="D3" i="7" s="1"/>
  <c r="E3" i="7" s="1"/>
  <c r="AG2" i="7"/>
  <c r="D2" i="7" s="1"/>
  <c r="E2" i="7" s="1"/>
  <c r="J19" i="11" l="1"/>
  <c r="D17" i="10"/>
  <c r="D5" i="10"/>
  <c r="D16" i="10"/>
  <c r="D22" i="10"/>
  <c r="D23" i="10"/>
  <c r="D10" i="10"/>
  <c r="D11" i="10"/>
  <c r="D4" i="10"/>
  <c r="H6" i="9"/>
  <c r="H3" i="9"/>
  <c r="H3" i="6"/>
  <c r="AE3" i="3"/>
  <c r="AG3" i="3"/>
  <c r="H3" i="3"/>
  <c r="AC3" i="3"/>
  <c r="G3" i="3"/>
  <c r="O3" i="3"/>
  <c r="AF3" i="3"/>
  <c r="P3" i="3"/>
  <c r="Y3" i="3"/>
  <c r="Z3" i="3"/>
  <c r="K3" i="3"/>
  <c r="S3" i="3"/>
  <c r="AB3" i="3"/>
  <c r="L3" i="3"/>
  <c r="G3" i="8"/>
  <c r="F3" i="3"/>
  <c r="E3" i="3"/>
  <c r="H8" i="6"/>
  <c r="H4" i="6"/>
  <c r="H10"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227305-BD14-4B63-8E89-3321E0CD195F}"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578BB9C7-BE9D-4B34-9C1D-5A28E693A488}" keepAlive="1" name="Query - All_India_Index_Upto_April23 (2)" description="Connection to the 'All_India_Index_Upto_April23 (2)' query in the workbook." type="5" refreshedVersion="8" background="1" saveData="1">
    <dbPr connection="Provider=Microsoft.Mashup.OleDb.1;Data Source=$Workbook$;Location=&quot;All_India_Index_Upto_April23 (2)&quot;;Extended Properties=&quot;&quot;" command="SELECT * FROM [All_India_Index_Upto_April23 (2)]"/>
  </connection>
</connections>
</file>

<file path=xl/sharedStrings.xml><?xml version="1.0" encoding="utf-8"?>
<sst xmlns="http://schemas.openxmlformats.org/spreadsheetml/2006/main" count="1027" uniqueCount="130">
  <si>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</si>
  <si>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</si>
  <si>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</si>
  <si>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</si>
  <si>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</si>
  <si>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</si>
  <si>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</si>
  <si>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</si>
  <si>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</si>
  <si>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</si>
  <si>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</si>
  <si>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</si>
  <si>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</si>
  <si>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</si>
  <si>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</si>
  <si>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</si>
  <si>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</si>
  <si>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</si>
  <si>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</si>
  <si>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</si>
  <si>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</si>
  <si>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</si>
  <si>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</si>
  <si>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</si>
  <si>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</si>
  <si>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</si>
  <si>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</si>
  <si>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</si>
  <si>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</si>
  <si>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</si>
  <si>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</si>
  <si>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</si>
  <si>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</si>
  <si>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</si>
  <si>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</si>
  <si>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</si>
  <si>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</si>
  <si>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</si>
  <si>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</si>
  <si>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</si>
  <si>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</si>
  <si>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</si>
  <si>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</si>
  <si>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</si>
  <si>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</si>
  <si>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Date</t>
  </si>
  <si>
    <t>Day</t>
  </si>
  <si>
    <t>Blanks</t>
  </si>
  <si>
    <t>Missing Values</t>
  </si>
  <si>
    <t>Mean</t>
  </si>
  <si>
    <t>Median</t>
  </si>
  <si>
    <t>Standard D</t>
  </si>
  <si>
    <t xml:space="preserve"> =AVERAGE()</t>
  </si>
  <si>
    <t xml:space="preserve"> =MEDIAN() </t>
  </si>
  <si>
    <t xml:space="preserve"> =STDEV()</t>
  </si>
  <si>
    <t>Covid Period</t>
  </si>
  <si>
    <t>Month Number</t>
  </si>
  <si>
    <t>Transport</t>
  </si>
  <si>
    <t>Category</t>
  </si>
  <si>
    <t>Food</t>
  </si>
  <si>
    <t>Food &amp; Beverages</t>
  </si>
  <si>
    <t>Housing &amp; Utilities</t>
  </si>
  <si>
    <t>Healthcare</t>
  </si>
  <si>
    <t>Education &amp; Recreation</t>
  </si>
  <si>
    <t>Bucket</t>
  </si>
  <si>
    <t>Value</t>
  </si>
  <si>
    <t>Pan, Tobacco &amp; Intoxicants</t>
  </si>
  <si>
    <t>Fuel &amp; Light</t>
  </si>
  <si>
    <t>Household Goods &amp; Services</t>
  </si>
  <si>
    <t>Recreation &amp; Amusement</t>
  </si>
  <si>
    <t>Personal Care &amp; Effects</t>
  </si>
  <si>
    <t>Transport &amp; Mobility</t>
  </si>
  <si>
    <t>Personal &amp; Lifestyle</t>
  </si>
  <si>
    <t>Total</t>
  </si>
  <si>
    <t>Grand Total</t>
  </si>
  <si>
    <t>Category Contribution %</t>
  </si>
  <si>
    <t>Broader Buckets</t>
  </si>
  <si>
    <t>Average of General index</t>
  </si>
  <si>
    <t>Avg CPI</t>
  </si>
  <si>
    <t>YoY %</t>
  </si>
  <si>
    <t>Highest YoY</t>
  </si>
  <si>
    <t>Highest YoY Year</t>
  </si>
  <si>
    <t>Inflation remained relatively stable between 2017 and 2019.</t>
  </si>
  <si>
    <t>Insight #1</t>
  </si>
  <si>
    <t>Insight #2</t>
  </si>
  <si>
    <t>Inflation increased significantly after COVID-19 due to supply chain disruptions.</t>
  </si>
  <si>
    <t>Insight #3</t>
  </si>
  <si>
    <t>Inflation peaked in 2022 driven by higher food prices, crude oil shocks, and global geopolitical tensions.</t>
  </si>
  <si>
    <t>MoM %</t>
  </si>
  <si>
    <t>Highest Inflation Month</t>
  </si>
  <si>
    <t>Lowest Inflation Month</t>
  </si>
  <si>
    <t>Lowest Inflation Value</t>
  </si>
  <si>
    <t>Food contributes the largest share (50.84%) to the CPI basket, followed by Housing &amp; Utilities (22.1%).</t>
  </si>
  <si>
    <t>Change</t>
  </si>
  <si>
    <t>Highest Inflation</t>
  </si>
  <si>
    <t>Food Index Change</t>
  </si>
  <si>
    <t xml:space="preserve">Contribution Change </t>
  </si>
  <si>
    <t xml:space="preserve">Top Contributor </t>
  </si>
  <si>
    <t>=INDEX(J2:M14,MATCH(MAX(M2:M14),M2:M14,S2),1)</t>
  </si>
  <si>
    <t>Food inflation rose by 4.7 index points during Jun-22 to May-23.
Inflation peaked in Oct-22 (1.01%) and hit a low in Dec-22 (-1.35%).
Spices were the largest contributor to food inflation (+30.9).</t>
  </si>
  <si>
    <t>Insights</t>
  </si>
  <si>
    <t>Post-COVID</t>
  </si>
  <si>
    <t>Pre-COVID</t>
  </si>
  <si>
    <t>Average of Food</t>
  </si>
  <si>
    <t>Average of Health</t>
  </si>
  <si>
    <t>Average Household Goods &amp; Services</t>
  </si>
  <si>
    <t>Average of Genral Index</t>
  </si>
  <si>
    <t>Household Goods</t>
  </si>
  <si>
    <t>Overall CPI Impact
-35.80</t>
  </si>
  <si>
    <t>Food Impact
-24.94</t>
  </si>
  <si>
    <t>Healthcare Impact
+60.02</t>
  </si>
  <si>
    <t>Essential Services
-32.16</t>
  </si>
  <si>
    <t>Healthcare was the most affected category during COVID-19, increasing by 60.02 index points. 
Food and Household Goods recorded declines of 24.94 and 32.16 points respectively, 
while overall CPI decreased by 35.80 points between the pre- and post-COVID periods.</t>
  </si>
  <si>
    <t>Correlation</t>
  </si>
  <si>
    <t>=CORREL($B$2:$B$30,E2:E30)</t>
  </si>
  <si>
    <t>=CORREL($B$2:$B$30,C2:C30)</t>
  </si>
  <si>
    <t>=CORREL($B$2:$B$30,D2:D30)</t>
  </si>
  <si>
    <t>=CORREL($B$2:$B$30,G2:G30)</t>
  </si>
  <si>
    <t>=CORREL($B$2:$B$30,F2:F30)</t>
  </si>
  <si>
    <t>Formula Used</t>
  </si>
  <si>
    <t>Highest Impact Category</t>
  </si>
  <si>
    <t>Highest Correlation</t>
  </si>
  <si>
    <t>Positive</t>
  </si>
  <si>
    <t xml:space="preserve">   </t>
  </si>
  <si>
    <t>Decoding India's Inflation: CPI Analytics Dashboard</t>
  </si>
  <si>
    <t>Oil Price</t>
  </si>
  <si>
    <t>Highest Correlation avg</t>
  </si>
  <si>
    <t>=INDEX(I2:J6,1,MATCH(MAX(J2:J6),J2:J6,0))</t>
  </si>
  <si>
    <t>Relationship</t>
  </si>
  <si>
    <t># Correlation analysis indicates a strong positive relationship between Oil Prices and all major inflation categories. 
# Transport recorded the highest correlation (0.64), followed by Food (0.55). 
# This suggests that fluctuations in energy prices have a broad impact across the inflation basket, influencing both essential and service-related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</si>
</sst>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0.0"/>
    <numFmt numFmtId="166" formatCode="[$-14009]yyyy/mm/dd;@"/>
    <numFmt numFmtId="167" formatCode="0.0%"/>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rgb="FFC00000"/>
      <name val="Calibri"/>
      <family val="2"/>
      <scheme val="minor"/>
    </font>
    <font>
      <b/>
      <sz val="12"/>
      <color theme="1"/>
      <name val="Calibri"/>
      <family val="2"/>
      <scheme val="minor"/>
    </font>
    <font>
      <b/>
      <sz val="10"/>
      <color theme="1" tint="4.9989318521683403E-2"/>
      <name val="Calibri"/>
      <family val="2"/>
      <scheme val="minor"/>
    </font>
    <font>
      <b/>
      <sz val="12"/>
      <color theme="0"/>
      <name val="Calibri"/>
      <family val="2"/>
      <scheme val="minor"/>
    </font>
    <font>
      <sz val="12"/>
      <color theme="1"/>
      <name val="Calibri"/>
      <family val="2"/>
      <scheme val="minor"/>
    </font>
    <font>
      <b/>
      <sz val="11"/>
      <color theme="1" tint="4.9989318521683403E-2"/>
      <name val="Aileron Black"/>
      <family val="3"/>
    </font>
    <font>
      <b/>
      <sz val="14"/>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3" tint="0.59999389629810485"/>
        <bgColor indexed="6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double">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2">
    <xf numFmtId="0" fontId="0" fillId="0" borderId="0" xfId="0"/>
    <xf numFmtId="164" fontId="0" fillId="0" borderId="0" xfId="1" applyNumberFormat="1" applyFont="1"/>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2" fillId="2" borderId="1" xfId="0" applyFont="1" applyFill="1" applyBorder="1"/>
    <xf numFmtId="9" fontId="0" fillId="0" borderId="0" xfId="2" applyFont="1"/>
    <xf numFmtId="0" fontId="4" fillId="0" borderId="0" xfId="0" applyFont="1"/>
    <xf numFmtId="2" fontId="4" fillId="0" borderId="0" xfId="0" applyNumberFormat="1" applyFont="1"/>
    <xf numFmtId="166" fontId="0" fillId="0" borderId="0" xfId="1" applyNumberFormat="1" applyFont="1"/>
    <xf numFmtId="0" fontId="2" fillId="2" borderId="2" xfId="0" applyFont="1" applyFill="1" applyBorder="1"/>
    <xf numFmtId="0" fontId="0" fillId="0" borderId="0" xfId="0" applyAlignment="1">
      <alignment vertical="center" wrapText="1"/>
    </xf>
    <xf numFmtId="2" fontId="0" fillId="0" borderId="0" xfId="0" applyNumberFormat="1" applyAlignment="1">
      <alignment vertical="center" wrapText="1"/>
    </xf>
    <xf numFmtId="9" fontId="0" fillId="0" borderId="0" xfId="0" applyNumberFormat="1"/>
    <xf numFmtId="0" fontId="3" fillId="0" borderId="0" xfId="0" applyFont="1"/>
    <xf numFmtId="0" fontId="5" fillId="0" borderId="0" xfId="0" applyFont="1"/>
    <xf numFmtId="0" fontId="0" fillId="0" borderId="0" xfId="0" pivotButton="1"/>
    <xf numFmtId="10" fontId="0" fillId="0" borderId="0" xfId="0" applyNumberFormat="1"/>
    <xf numFmtId="0" fontId="0" fillId="0" borderId="0" xfId="0" applyAlignment="1">
      <alignment horizontal="center"/>
    </xf>
    <xf numFmtId="0" fontId="3" fillId="0" borderId="0" xfId="0" applyFont="1" applyAlignment="1">
      <alignment horizontal="center" vertical="center"/>
    </xf>
    <xf numFmtId="0" fontId="2" fillId="2" borderId="2" xfId="0" applyFont="1" applyFill="1" applyBorder="1" applyAlignment="1">
      <alignment horizontal="center" vertical="center"/>
    </xf>
    <xf numFmtId="2" fontId="0" fillId="0" borderId="0" xfId="2" applyNumberFormat="1" applyFont="1"/>
    <xf numFmtId="1" fontId="0" fillId="0" borderId="0" xfId="2" applyNumberFormat="1" applyFont="1"/>
    <xf numFmtId="10" fontId="0" fillId="0" borderId="0" xfId="2" applyNumberFormat="1" applyFont="1"/>
    <xf numFmtId="14" fontId="0" fillId="0" borderId="0" xfId="0" applyNumberFormat="1"/>
    <xf numFmtId="0" fontId="2" fillId="2" borderId="0" xfId="0" applyFont="1" applyFill="1"/>
    <xf numFmtId="17" fontId="2" fillId="2" borderId="2" xfId="0" applyNumberFormat="1" applyFont="1" applyFill="1" applyBorder="1"/>
    <xf numFmtId="17" fontId="2" fillId="2" borderId="5" xfId="0" applyNumberFormat="1" applyFont="1" applyFill="1" applyBorder="1"/>
    <xf numFmtId="0" fontId="3" fillId="0" borderId="5" xfId="0" applyFont="1" applyBorder="1"/>
    <xf numFmtId="0" fontId="2" fillId="2" borderId="5" xfId="0" applyFont="1" applyFill="1" applyBorder="1"/>
    <xf numFmtId="10" fontId="0" fillId="0" borderId="5" xfId="2" applyNumberFormat="1" applyFont="1" applyBorder="1"/>
    <xf numFmtId="14" fontId="0" fillId="0" borderId="5" xfId="0" applyNumberFormat="1" applyBorder="1"/>
    <xf numFmtId="2" fontId="0" fillId="0" borderId="5" xfId="2" applyNumberFormat="1" applyFont="1" applyBorder="1"/>
    <xf numFmtId="0" fontId="3" fillId="5" borderId="0" xfId="0" applyFont="1" applyFill="1"/>
    <xf numFmtId="2" fontId="3" fillId="5" borderId="4" xfId="0" applyNumberFormat="1" applyFont="1" applyFill="1" applyBorder="1"/>
    <xf numFmtId="0" fontId="3" fillId="5" borderId="0" xfId="0" applyFont="1" applyFill="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right" vertical="center" wrapText="1"/>
    </xf>
    <xf numFmtId="2" fontId="0" fillId="0" borderId="0" xfId="0" applyNumberFormat="1" applyAlignment="1">
      <alignment horizontal="right" vertical="center" wrapText="1"/>
    </xf>
    <xf numFmtId="0" fontId="7" fillId="2" borderId="5" xfId="0" applyFont="1" applyFill="1" applyBorder="1" applyAlignment="1">
      <alignment horizontal="center" vertical="center"/>
    </xf>
    <xf numFmtId="10" fontId="8" fillId="0" borderId="5" xfId="2" applyNumberFormat="1" applyFont="1" applyBorder="1" applyAlignment="1">
      <alignment horizontal="center" vertical="center"/>
    </xf>
    <xf numFmtId="10" fontId="8" fillId="0" borderId="0" xfId="2" applyNumberFormat="1" applyFont="1" applyAlignment="1">
      <alignment horizontal="center" vertical="center"/>
    </xf>
    <xf numFmtId="0" fontId="8" fillId="0" borderId="0" xfId="0" applyFont="1" applyAlignment="1">
      <alignment horizontal="center" vertical="center"/>
    </xf>
    <xf numFmtId="10" fontId="8" fillId="0" borderId="0" xfId="2" applyNumberFormat="1" applyFont="1" applyAlignment="1">
      <alignment vertical="center"/>
    </xf>
    <xf numFmtId="0" fontId="3" fillId="4" borderId="0" xfId="0" applyFont="1" applyFill="1" applyAlignment="1">
      <alignment horizontal="center" vertical="center"/>
    </xf>
    <xf numFmtId="2" fontId="3" fillId="4" borderId="0" xfId="0" applyNumberFormat="1" applyFont="1" applyFill="1" applyAlignment="1">
      <alignment horizontal="center" vertical="center"/>
    </xf>
    <xf numFmtId="0" fontId="0" fillId="0" borderId="0" xfId="0" applyAlignment="1">
      <alignment horizontal="right" vertical="center" wrapText="1"/>
    </xf>
    <xf numFmtId="167" fontId="0" fillId="0" borderId="0" xfId="2" applyNumberFormat="1" applyFont="1" applyAlignment="1">
      <alignment horizontal="center"/>
    </xf>
    <xf numFmtId="2" fontId="0" fillId="0" borderId="0" xfId="1" applyNumberFormat="1" applyFont="1"/>
    <xf numFmtId="0" fontId="3" fillId="6"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left" vertical="center" wrapText="1"/>
    </xf>
    <xf numFmtId="0" fontId="10" fillId="0" borderId="0" xfId="0" applyFont="1" applyAlignment="1">
      <alignment horizontal="center"/>
    </xf>
    <xf numFmtId="0" fontId="8" fillId="0" borderId="7" xfId="0" applyFont="1" applyBorder="1" applyAlignment="1">
      <alignment horizontal="center" vertical="center"/>
    </xf>
    <xf numFmtId="10" fontId="8" fillId="0" borderId="7" xfId="2" applyNumberFormat="1" applyFont="1" applyBorder="1" applyAlignment="1">
      <alignment horizontal="center" vertical="center"/>
    </xf>
    <xf numFmtId="0" fontId="9" fillId="6" borderId="0" xfId="0" applyFont="1" applyFill="1" applyAlignment="1">
      <alignment horizontal="center" vertical="center" wrapText="1"/>
    </xf>
    <xf numFmtId="0" fontId="7" fillId="2" borderId="6" xfId="0" applyFont="1" applyFill="1" applyBorder="1" applyAlignment="1">
      <alignment horizontal="center" vertical="center"/>
    </xf>
    <xf numFmtId="0" fontId="7" fillId="2" borderId="0" xfId="0" applyFont="1" applyFill="1" applyAlignment="1">
      <alignment horizontal="center" vertical="center"/>
    </xf>
    <xf numFmtId="0" fontId="3" fillId="0" borderId="0" xfId="0" applyFont="1" applyAlignment="1">
      <alignment horizontal="center" vertical="center"/>
    </xf>
    <xf numFmtId="0" fontId="6" fillId="4" borderId="0" xfId="0" applyFont="1" applyFill="1" applyAlignment="1">
      <alignment horizontal="left" vertical="center"/>
    </xf>
    <xf numFmtId="0" fontId="3" fillId="0" borderId="3" xfId="0" applyFont="1" applyBorder="1" applyAlignment="1">
      <alignment horizontal="center" vertical="center"/>
    </xf>
  </cellXfs>
  <cellStyles count="3">
    <cellStyle name="Comma" xfId="1" builtinId="3"/>
    <cellStyle name="Normal" xfId="0" builtinId="0"/>
    <cellStyle name="Percent" xfId="2" builtinId="5"/>
  </cellStyles>
  <dxfs count="16">
    <dxf>
      <fill>
        <patternFill>
          <bgColor rgb="FFFFFF00"/>
        </patternFill>
      </fill>
    </dxf>
    <dxf>
      <fill>
        <patternFill>
          <bgColor rgb="FFC00000"/>
        </patternFill>
      </fill>
    </dxf>
    <dxf>
      <fill>
        <patternFill>
          <bgColor rgb="FFFFFF00"/>
        </patternFill>
      </fill>
    </dxf>
    <dxf>
      <fill>
        <patternFill>
          <bgColor rgb="FFC00000"/>
        </patternFill>
      </fill>
    </dxf>
    <dxf>
      <fill>
        <patternFill>
          <bgColor rgb="FFFFFF00"/>
        </patternFill>
      </fill>
    </dxf>
    <dxf>
      <fill>
        <patternFill>
          <bgColor rgb="FFC00000"/>
        </patternFill>
      </fill>
    </dxf>
    <dxf>
      <numFmt numFmtId="2" formatCode="0.00"/>
    </dxf>
    <dxf>
      <numFmt numFmtId="2" formatCode="0.00"/>
    </dxf>
    <dxf>
      <numFmt numFmtId="14" formatCode="0.00%"/>
    </dxf>
    <dxf>
      <numFmt numFmtId="13" formatCode="0%"/>
    </dxf>
    <dxf>
      <numFmt numFmtId="164" formatCode="_ * #,##0_ ;_ * \-#,##0_ ;_ * &quot;-&quot;??_ ;_ @_ "/>
    </dxf>
    <dxf>
      <numFmt numFmtId="2" formatCode="0.00"/>
    </dxf>
    <dxf>
      <numFmt numFmtId="164" formatCode="_ * #,##0_ ;_ * \-#,##0_ ;_ * &quot;-&quot;??_ ;_ @_ "/>
    </dxf>
    <dxf>
      <numFmt numFmtId="164" formatCode="_ * #,##0_ ;_ * \-#,##0_ ;_ * &quot;-&quot;??_ ;_ @_ "/>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[CPI_Inflation_v002.xlsx]Q1_Contribution!PivotTable3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Contribution to CPI Basket (%)</a:t>
            </a:r>
          </a:p>
          <a:p>
            <a:pPr>
              <a:defRPr/>
            </a:pPr>
            <a:r>
              <a:rPr lang="en-IN"/>
              <a:t>(May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Q1_Contribution!$K$2:$K$3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E7-4286-A200-589412D72C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E7-4286-A200-589412D72C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E7-4286-A200-589412D72C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E7-4286-A200-589412D72C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E7-4286-A200-589412D72CC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BE7-4286-A200-589412D72CCE}"/>
              </c:ext>
            </c:extLst>
          </c:dPt>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Q1_Contribution!$J$4:$J$10</c:f>
              <c:strCache>
                <c:ptCount val="6"/>
                <c:pt idx="0">
                  <c:v>Education &amp; Recreation</c:v>
                </c:pt>
                <c:pt idx="1">
                  <c:v>Food</c:v>
                </c:pt>
                <c:pt idx="2">
                  <c:v>Healthcare</c:v>
                </c:pt>
                <c:pt idx="3">
                  <c:v>Housing &amp; Utilities</c:v>
                </c:pt>
                <c:pt idx="4">
                  <c:v>Personal &amp; Lifestyle</c:v>
                </c:pt>
                <c:pt idx="5">
                  <c:v>Transport &amp; Mobility</c:v>
                </c:pt>
              </c:strCache>
            </c:strRef>
          </c:cat>
          <c:val>
            <c:numRef>
              <c:f>Q1_Contribution!$K$4:$K$10</c:f>
              <c:numCache>
                <c:formatCode>0.00%</c:formatCode>
                <c:ptCount val="6"/>
                <c:pt idx="0">
                  <c:v>8.1419672206514485E-2</c:v>
                </c:pt>
                <c:pt idx="1">
                  <c:v>0.5083787325012068</c:v>
                </c:pt>
                <c:pt idx="2">
                  <c:v>4.2686711261292323E-2</c:v>
                </c:pt>
                <c:pt idx="3">
                  <c:v>0.1156931705859366</c:v>
                </c:pt>
                <c:pt idx="4">
                  <c:v>0.21393926855619153</c:v>
                </c:pt>
                <c:pt idx="5">
                  <c:v>3.7882444888858238E-2</c:v>
                </c:pt>
              </c:numCache>
            </c:numRef>
          </c:val>
          <c:extLst>
            <c:ext xmlns:c16="http://schemas.microsoft.com/office/drawing/2014/chart" uri="{C3380CC4-5D6E-409C-BE32-E72D297353CC}">
              <c16:uniqueId val="{0000000C-8BE7-4286-A200-589412D72CC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cap="all"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India CPI Inflation Trend (YoY %)</a:t>
            </a:r>
          </a:p>
        </c:rich>
      </c:tx>
      <c:overlay val="0"/>
      <c:spPr>
        <a:noFill/>
        <a:ln>
          <a:noFill/>
        </a:ln>
        <a:effectLst/>
      </c:spPr>
      <c:txPr>
        <a:bodyPr rot="0" spcFirstLastPara="1" vertOverflow="ellipsis" vert="horz" wrap="square" anchor="ctr" anchorCtr="1"/>
        <a:lstStyle/>
        <a:p>
          <a:pPr algn="ctr" rtl="0">
            <a:defRPr lang="en-IN" sz="14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Q2_YOY!$F$2</c:f>
              <c:strCache>
                <c:ptCount val="1"/>
                <c:pt idx="0">
                  <c:v>YoY %</c:v>
                </c:pt>
              </c:strCache>
            </c:strRef>
          </c:tx>
          <c:spPr>
            <a:ln w="38100" cap="rnd" cmpd="sng" algn="ctr">
              <a:solidFill>
                <a:srgbClr val="0070C0"/>
              </a:solidFill>
              <a:prstDash val="solid"/>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Q2_YOY!$D$3:$D$13</c:f>
              <c:numCache>
                <c:formatCode>General</c:formatCode>
                <c:ptCount val="11"/>
                <c:pt idx="0" formatCode="0">
                  <c:v>2013</c:v>
                </c:pt>
                <c:pt idx="1">
                  <c:v>2014</c:v>
                </c:pt>
                <c:pt idx="2">
                  <c:v>2015</c:v>
                </c:pt>
                <c:pt idx="3">
                  <c:v>2016</c:v>
                </c:pt>
                <c:pt idx="4">
                  <c:v>2017</c:v>
                </c:pt>
                <c:pt idx="5">
                  <c:v>2018</c:v>
                </c:pt>
                <c:pt idx="6">
                  <c:v>2019</c:v>
                </c:pt>
                <c:pt idx="7">
                  <c:v>2020</c:v>
                </c:pt>
                <c:pt idx="8">
                  <c:v>2021</c:v>
                </c:pt>
                <c:pt idx="9">
                  <c:v>2022</c:v>
                </c:pt>
                <c:pt idx="10">
                  <c:v>2023</c:v>
                </c:pt>
              </c:numCache>
            </c:numRef>
          </c:cat>
          <c:val>
            <c:numRef>
              <c:f>Q2_YOY!$F$3:$F$13</c:f>
              <c:numCache>
                <c:formatCode>0.00%</c:formatCode>
                <c:ptCount val="11"/>
                <c:pt idx="0" formatCode="0.0%">
                  <c:v>0</c:v>
                </c:pt>
                <c:pt idx="1">
                  <c:v>6.6481504860497073E-2</c:v>
                </c:pt>
                <c:pt idx="2">
                  <c:v>4.8652871821582296E-2</c:v>
                </c:pt>
                <c:pt idx="3">
                  <c:v>4.9285440137268044E-2</c:v>
                </c:pt>
                <c:pt idx="4">
                  <c:v>3.3199931147258686E-2</c:v>
                </c:pt>
                <c:pt idx="5">
                  <c:v>3.9609321310314222E-2</c:v>
                </c:pt>
                <c:pt idx="6">
                  <c:v>3.9358550145594036E-2</c:v>
                </c:pt>
                <c:pt idx="7">
                  <c:v>4.9593162608805204E-2</c:v>
                </c:pt>
                <c:pt idx="8">
                  <c:v>6.7041260397730687E-2</c:v>
                </c:pt>
                <c:pt idx="9">
                  <c:v>6.6029943211151423E-2</c:v>
                </c:pt>
                <c:pt idx="10">
                  <c:v>3.1953121216523474E-2</c:v>
                </c:pt>
              </c:numCache>
            </c:numRef>
          </c:val>
          <c:smooth val="0"/>
          <c:extLst>
            <c:ext xmlns:c16="http://schemas.microsoft.com/office/drawing/2014/chart" uri="{C3380CC4-5D6E-409C-BE32-E72D297353CC}">
              <c16:uniqueId val="{00000000-ED27-4978-9E58-748228EAFB68}"/>
            </c:ext>
          </c:extLst>
        </c:ser>
        <c:dLbls>
          <c:dLblPos val="t"/>
          <c:showLegendKey val="0"/>
          <c:showVal val="1"/>
          <c:showCatName val="0"/>
          <c:showSerName val="0"/>
          <c:showPercent val="0"/>
          <c:showBubbleSize val="0"/>
        </c:dLbls>
        <c:smooth val="0"/>
        <c:axId val="497025248"/>
        <c:axId val="1004226128"/>
      </c:lineChart>
      <c:catAx>
        <c:axId val="49702524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226128"/>
        <c:crosses val="autoZero"/>
        <c:auto val="1"/>
        <c:lblAlgn val="ctr"/>
        <c:lblOffset val="100"/>
        <c:noMultiLvlLbl val="0"/>
      </c:catAx>
      <c:valAx>
        <c:axId val="100422612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25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Inflation Trend (MoM %)</a:t>
            </a:r>
            <a:br>
              <a:rPr lang="en-IN"/>
            </a:br>
            <a:r>
              <a:rPr lang="en-IN"/>
              <a:t>Jun 2022 - May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Q3_Food!$F$1</c:f>
              <c:strCache>
                <c:ptCount val="1"/>
                <c:pt idx="0">
                  <c:v>MoM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Q3_Food!$D$2:$D$13</c:f>
              <c:numCache>
                <c:formatCode>m/d/yyyy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xVal>
          <c:yVal>
            <c:numRef>
              <c:f>Q3_Food!$F$2:$F$13</c:f>
              <c:numCache>
                <c:formatCode>0.00%</c:formatCode>
                <c:ptCount val="12"/>
                <c:pt idx="0" formatCode="General">
                  <c:v>0</c:v>
                </c:pt>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yVal>
          <c:smooth val="0"/>
          <c:extLst>
            <c:ext xmlns:c16="http://schemas.microsoft.com/office/drawing/2014/chart" uri="{C3380CC4-5D6E-409C-BE32-E72D297353CC}">
              <c16:uniqueId val="{00000000-BEF5-485F-B036-CC7AC578D5D7}"/>
            </c:ext>
          </c:extLst>
        </c:ser>
        <c:dLbls>
          <c:dLblPos val="t"/>
          <c:showLegendKey val="0"/>
          <c:showVal val="1"/>
          <c:showCatName val="0"/>
          <c:showSerName val="0"/>
          <c:showPercent val="0"/>
          <c:showBubbleSize val="0"/>
        </c:dLbls>
        <c:axId val="500081520"/>
        <c:axId val="500081880"/>
      </c:scatterChart>
      <c:valAx>
        <c:axId val="500081520"/>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81880"/>
        <c:crosses val="autoZero"/>
        <c:crossBetween val="midCat"/>
      </c:valAx>
      <c:valAx>
        <c:axId val="500081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81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Food Category Contributors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Q3_Food!$Q$1</c:f>
              <c:strCache>
                <c:ptCount val="1"/>
                <c:pt idx="0">
                  <c:v>Change</c:v>
                </c:pt>
              </c:strCache>
            </c:strRef>
          </c:tx>
          <c:spPr>
            <a:solidFill>
              <a:schemeClr val="accent1"/>
            </a:solidFill>
            <a:ln>
              <a:noFill/>
            </a:ln>
            <a:effectLst/>
          </c:spPr>
          <c:invertIfNegative val="0"/>
          <c:cat>
            <c:strRef>
              <c:f>Q3_Food!$N$2:$N$6</c:f>
              <c:strCache>
                <c:ptCount val="5"/>
                <c:pt idx="0">
                  <c:v>Spices</c:v>
                </c:pt>
                <c:pt idx="1">
                  <c:v>Cereals and products</c:v>
                </c:pt>
                <c:pt idx="2">
                  <c:v>Milk and products</c:v>
                </c:pt>
                <c:pt idx="3">
                  <c:v>Pulses and products</c:v>
                </c:pt>
                <c:pt idx="4">
                  <c:v>Prepared meals, snacks, sweets etc.</c:v>
                </c:pt>
              </c:strCache>
            </c:strRef>
          </c:cat>
          <c:val>
            <c:numRef>
              <c:f>Q3_Food!$Q$2:$Q$6</c:f>
              <c:numCache>
                <c:formatCode>0.00</c:formatCode>
                <c:ptCount val="5"/>
                <c:pt idx="0">
                  <c:v>30.900000000000006</c:v>
                </c:pt>
                <c:pt idx="1">
                  <c:v>18.699999999999989</c:v>
                </c:pt>
                <c:pt idx="2">
                  <c:v>13.699999999999989</c:v>
                </c:pt>
                <c:pt idx="3">
                  <c:v>11.299999999999983</c:v>
                </c:pt>
                <c:pt idx="4">
                  <c:v>10.299999999999983</c:v>
                </c:pt>
              </c:numCache>
            </c:numRef>
          </c:val>
          <c:extLst>
            <c:ext xmlns:c16="http://schemas.microsoft.com/office/drawing/2014/chart" uri="{C3380CC4-5D6E-409C-BE32-E72D297353CC}">
              <c16:uniqueId val="{00000000-4410-40AF-BFE0-CC4A5F0C2B4D}"/>
            </c:ext>
          </c:extLst>
        </c:ser>
        <c:dLbls>
          <c:showLegendKey val="0"/>
          <c:showVal val="0"/>
          <c:showCatName val="0"/>
          <c:showSerName val="0"/>
          <c:showPercent val="0"/>
          <c:showBubbleSize val="0"/>
        </c:dLbls>
        <c:gapWidth val="182"/>
        <c:axId val="203081800"/>
        <c:axId val="203080000"/>
      </c:barChart>
      <c:catAx>
        <c:axId val="203081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0000"/>
        <c:crosses val="autoZero"/>
        <c:auto val="1"/>
        <c:lblAlgn val="ctr"/>
        <c:lblOffset val="100"/>
        <c:noMultiLvlLbl val="0"/>
      </c:catAx>
      <c:valAx>
        <c:axId val="203080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1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Energy Prices on Inflation Categories</a:t>
            </a:r>
          </a:p>
          <a:p>
            <a:pPr>
              <a:defRPr/>
            </a:pPr>
            <a:r>
              <a:rPr lang="en-US"/>
              <a:t>(Correlation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Q5_Oil!$J$1</c:f>
              <c:strCache>
                <c:ptCount val="1"/>
                <c:pt idx="0">
                  <c:v>Correlation</c:v>
                </c:pt>
              </c:strCache>
            </c:strRef>
          </c:tx>
          <c:spPr>
            <a:solidFill>
              <a:schemeClr val="accent1"/>
            </a:solidFill>
            <a:ln>
              <a:noFill/>
            </a:ln>
            <a:effectLst/>
          </c:spPr>
          <c:invertIfNegative val="0"/>
          <c:cat>
            <c:strRef>
              <c:f>Q5_Oil!$I$2:$I$6</c:f>
              <c:strCache>
                <c:ptCount val="5"/>
                <c:pt idx="0">
                  <c:v>Household Goods</c:v>
                </c:pt>
                <c:pt idx="1">
                  <c:v>Education</c:v>
                </c:pt>
                <c:pt idx="2">
                  <c:v>Health</c:v>
                </c:pt>
                <c:pt idx="3">
                  <c:v>Transport</c:v>
                </c:pt>
                <c:pt idx="4">
                  <c:v>Food</c:v>
                </c:pt>
              </c:strCache>
            </c:strRef>
          </c:cat>
          <c:val>
            <c:numRef>
              <c:f>Q5_Oil!$J$2:$J$6</c:f>
              <c:numCache>
                <c:formatCode>0.00</c:formatCode>
                <c:ptCount val="5"/>
                <c:pt idx="0">
                  <c:v>0.48290481717531697</c:v>
                </c:pt>
                <c:pt idx="1">
                  <c:v>0.41586102982199047</c:v>
                </c:pt>
                <c:pt idx="2">
                  <c:v>0.45179277484652441</c:v>
                </c:pt>
                <c:pt idx="3">
                  <c:v>0.64359703910374755</c:v>
                </c:pt>
                <c:pt idx="4">
                  <c:v>0.55216235950806958</c:v>
                </c:pt>
              </c:numCache>
            </c:numRef>
          </c:val>
          <c:extLst>
            <c:ext xmlns:c16="http://schemas.microsoft.com/office/drawing/2014/chart" uri="{C3380CC4-5D6E-409C-BE32-E72D297353CC}">
              <c16:uniqueId val="{00000000-86A5-4C24-B80D-8A0C4FA872AD}"/>
            </c:ext>
          </c:extLst>
        </c:ser>
        <c:dLbls>
          <c:showLegendKey val="0"/>
          <c:showVal val="0"/>
          <c:showCatName val="0"/>
          <c:showSerName val="0"/>
          <c:showPercent val="0"/>
          <c:showBubbleSize val="0"/>
        </c:dLbls>
        <c:gapWidth val="182"/>
        <c:axId val="1080252944"/>
        <c:axId val="1080253304"/>
      </c:barChart>
      <c:catAx>
        <c:axId val="108025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53304"/>
        <c:crosses val="autoZero"/>
        <c:auto val="1"/>
        <c:lblAlgn val="ctr"/>
        <c:lblOffset val="100"/>
        <c:noMultiLvlLbl val="0"/>
      </c:catAx>
      <c:valAx>
        <c:axId val="1080253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52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COVID-19 Impact on Inflation Categories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Q4_COVID!$D$3</c:f>
              <c:strCache>
                <c:ptCount val="1"/>
                <c:pt idx="0">
                  <c:v>Total</c:v>
                </c:pt>
              </c:strCache>
            </c:strRef>
          </c:tx>
          <c:spPr>
            <a:solidFill>
              <a:schemeClr val="accent1"/>
            </a:solidFill>
            <a:ln>
              <a:noFill/>
            </a:ln>
            <a:effectLst/>
          </c:spPr>
          <c:invertIfNegative val="0"/>
          <c:cat>
            <c:strRef>
              <c:f>Q4_COVID!$C$4:$C$23</c:f>
              <c:strCache>
                <c:ptCount val="20"/>
                <c:pt idx="0">
                  <c:v>Post-COVID</c:v>
                </c:pt>
                <c:pt idx="1">
                  <c:v>Pre-COVID</c:v>
                </c:pt>
                <c:pt idx="5">
                  <c:v>Average of Food</c:v>
                </c:pt>
                <c:pt idx="6">
                  <c:v>Post-COVID</c:v>
                </c:pt>
                <c:pt idx="7">
                  <c:v>Pre-COVID</c:v>
                </c:pt>
                <c:pt idx="11">
                  <c:v>Average of Health</c:v>
                </c:pt>
                <c:pt idx="12">
                  <c:v>Post-COVID</c:v>
                </c:pt>
                <c:pt idx="13">
                  <c:v>Pre-COVID</c:v>
                </c:pt>
                <c:pt idx="17">
                  <c:v>Average Household Goods &amp; Services</c:v>
                </c:pt>
                <c:pt idx="18">
                  <c:v>Post-COVID</c:v>
                </c:pt>
                <c:pt idx="19">
                  <c:v>Pre-COVID</c:v>
                </c:pt>
              </c:strCache>
            </c:strRef>
          </c:cat>
          <c:val>
            <c:numRef>
              <c:f>Q4_COVID!$D$4:$D$23</c:f>
              <c:numCache>
                <c:formatCode>0.00</c:formatCode>
                <c:ptCount val="20"/>
                <c:pt idx="0">
                  <c:v>128.45770750988135</c:v>
                </c:pt>
                <c:pt idx="1">
                  <c:v>164.2538461538461</c:v>
                </c:pt>
                <c:pt idx="5" formatCode="General">
                  <c:v>0</c:v>
                </c:pt>
                <c:pt idx="6">
                  <c:v>128.94189723320159</c:v>
                </c:pt>
                <c:pt idx="7">
                  <c:v>153.87777777777779</c:v>
                </c:pt>
                <c:pt idx="11" formatCode="General">
                  <c:v>0</c:v>
                </c:pt>
                <c:pt idx="12">
                  <c:v>171.71250000000001</c:v>
                </c:pt>
                <c:pt idx="13">
                  <c:v>111.69193548387099</c:v>
                </c:pt>
                <c:pt idx="17" formatCode="General">
                  <c:v>0</c:v>
                </c:pt>
                <c:pt idx="18">
                  <c:v>126.81106719367587</c:v>
                </c:pt>
                <c:pt idx="19">
                  <c:v>158.97264957264946</c:v>
                </c:pt>
              </c:numCache>
            </c:numRef>
          </c:val>
          <c:extLst>
            <c:ext xmlns:c16="http://schemas.microsoft.com/office/drawing/2014/chart" uri="{C3380CC4-5D6E-409C-BE32-E72D297353CC}">
              <c16:uniqueId val="{00000000-8A54-42F0-A532-D530AA3B86D0}"/>
            </c:ext>
          </c:extLst>
        </c:ser>
        <c:dLbls>
          <c:showLegendKey val="0"/>
          <c:showVal val="0"/>
          <c:showCatName val="0"/>
          <c:showSerName val="0"/>
          <c:showPercent val="0"/>
          <c:showBubbleSize val="0"/>
        </c:dLbls>
        <c:gapWidth val="219"/>
        <c:axId val="1076577112"/>
        <c:axId val="1076576032"/>
      </c:barChart>
      <c:catAx>
        <c:axId val="1076577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76032"/>
        <c:crosses val="autoZero"/>
        <c:auto val="1"/>
        <c:lblAlgn val="ctr"/>
        <c:lblOffset val="100"/>
        <c:noMultiLvlLbl val="0"/>
      </c:catAx>
      <c:valAx>
        <c:axId val="10765760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77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[CPI_Inflation_v002.xlsx]Q1_Contribution!PivotTable3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Category Contribution to CPI Basket (%)</a:t>
            </a:r>
          </a:p>
          <a:p>
            <a:pPr>
              <a:defRPr/>
            </a:pPr>
            <a:r>
              <a:rPr lang="en-IN" sz="1100" b="0" i="0" u="none" strike="noStrike" baseline="0"/>
              <a:t>(May 2023)</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Q1_Contribution!$K$2:$K$3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EF-476C-B10B-045283ECC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EF-476C-B10B-045283ECC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EF-476C-B10B-045283ECC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EF-476C-B10B-045283ECC9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EF-476C-B10B-045283ECC9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EF-476C-B10B-045283ECC9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Q1_Contribution!$J$4:$J$10</c:f>
              <c:strCache>
                <c:ptCount val="6"/>
                <c:pt idx="0">
                  <c:v>Education &amp; Recreation</c:v>
                </c:pt>
                <c:pt idx="1">
                  <c:v>Food</c:v>
                </c:pt>
                <c:pt idx="2">
                  <c:v>Healthcare</c:v>
                </c:pt>
                <c:pt idx="3">
                  <c:v>Housing &amp; Utilities</c:v>
                </c:pt>
                <c:pt idx="4">
                  <c:v>Personal &amp; Lifestyle</c:v>
                </c:pt>
                <c:pt idx="5">
                  <c:v>Transport &amp; Mobility</c:v>
                </c:pt>
              </c:strCache>
            </c:strRef>
          </c:cat>
          <c:val>
            <c:numRef>
              <c:f>Q1_Contribution!$K$4:$K$10</c:f>
              <c:numCache>
                <c:formatCode>0.00%</c:formatCode>
                <c:ptCount val="6"/>
                <c:pt idx="0">
                  <c:v>8.1419672206514485E-2</c:v>
                </c:pt>
                <c:pt idx="1">
                  <c:v>0.5083787325012068</c:v>
                </c:pt>
                <c:pt idx="2">
                  <c:v>4.2686711261292323E-2</c:v>
                </c:pt>
                <c:pt idx="3">
                  <c:v>0.1156931705859366</c:v>
                </c:pt>
                <c:pt idx="4">
                  <c:v>0.21393926855619153</c:v>
                </c:pt>
                <c:pt idx="5">
                  <c:v>3.7882444888858238E-2</c:v>
                </c:pt>
              </c:numCache>
            </c:numRef>
          </c:val>
          <c:extLst>
            <c:ext xmlns:c16="http://schemas.microsoft.com/office/drawing/2014/chart" uri="{C3380CC4-5D6E-409C-BE32-E72D297353CC}">
              <c16:uniqueId val="{00000000-3C39-4068-922E-0B54D2F1F15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IN" sz="1400"/>
              <a:t>India CPI Inflation Trend (YoY %)</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Q2_YOY!$F$2</c:f>
              <c:strCache>
                <c:ptCount val="1"/>
                <c:pt idx="0">
                  <c:v>YoY %</c:v>
                </c:pt>
              </c:strCache>
            </c:strRef>
          </c:tx>
          <c:spPr>
            <a:ln w="38100" cap="rnd" cmpd="sng" algn="ctr">
              <a:solidFill>
                <a:srgbClr val="0070C0"/>
              </a:solidFill>
              <a:prstDash val="solid"/>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Q2_YOY!$D$3:$D$13</c:f>
              <c:numCache>
                <c:formatCode>General</c:formatCode>
                <c:ptCount val="11"/>
                <c:pt idx="0" formatCode="0">
                  <c:v>2013</c:v>
                </c:pt>
                <c:pt idx="1">
                  <c:v>2014</c:v>
                </c:pt>
                <c:pt idx="2">
                  <c:v>2015</c:v>
                </c:pt>
                <c:pt idx="3">
                  <c:v>2016</c:v>
                </c:pt>
                <c:pt idx="4">
                  <c:v>2017</c:v>
                </c:pt>
                <c:pt idx="5">
                  <c:v>2018</c:v>
                </c:pt>
                <c:pt idx="6">
                  <c:v>2019</c:v>
                </c:pt>
                <c:pt idx="7">
                  <c:v>2020</c:v>
                </c:pt>
                <c:pt idx="8">
                  <c:v>2021</c:v>
                </c:pt>
                <c:pt idx="9">
                  <c:v>2022</c:v>
                </c:pt>
                <c:pt idx="10">
                  <c:v>2023</c:v>
                </c:pt>
              </c:numCache>
            </c:numRef>
          </c:cat>
          <c:val>
            <c:numRef>
              <c:f>Q2_YOY!$F$3:$F$13</c:f>
              <c:numCache>
                <c:formatCode>0.00%</c:formatCode>
                <c:ptCount val="11"/>
                <c:pt idx="0" formatCode="0.0%">
                  <c:v>0</c:v>
                </c:pt>
                <c:pt idx="1">
                  <c:v>6.6481504860497073E-2</c:v>
                </c:pt>
                <c:pt idx="2">
                  <c:v>4.8652871821582296E-2</c:v>
                </c:pt>
                <c:pt idx="3">
                  <c:v>4.9285440137268044E-2</c:v>
                </c:pt>
                <c:pt idx="4">
                  <c:v>3.3199931147258686E-2</c:v>
                </c:pt>
                <c:pt idx="5">
                  <c:v>3.9609321310314222E-2</c:v>
                </c:pt>
                <c:pt idx="6">
                  <c:v>3.9358550145594036E-2</c:v>
                </c:pt>
                <c:pt idx="7">
                  <c:v>4.9593162608805204E-2</c:v>
                </c:pt>
                <c:pt idx="8">
                  <c:v>6.7041260397730687E-2</c:v>
                </c:pt>
                <c:pt idx="9">
                  <c:v>6.6029943211151423E-2</c:v>
                </c:pt>
                <c:pt idx="10">
                  <c:v>3.1953121216523474E-2</c:v>
                </c:pt>
              </c:numCache>
            </c:numRef>
          </c:val>
          <c:smooth val="0"/>
          <c:extLst>
            <c:ext xmlns:c16="http://schemas.microsoft.com/office/drawing/2014/chart" uri="{C3380CC4-5D6E-409C-BE32-E72D297353CC}">
              <c16:uniqueId val="{00000000-3DAC-40F6-B475-F4924B21082C}"/>
            </c:ext>
          </c:extLst>
        </c:ser>
        <c:dLbls>
          <c:dLblPos val="t"/>
          <c:showLegendKey val="0"/>
          <c:showVal val="1"/>
          <c:showCatName val="0"/>
          <c:showSerName val="0"/>
          <c:showPercent val="0"/>
          <c:showBubbleSize val="0"/>
        </c:dLbls>
        <c:smooth val="0"/>
        <c:axId val="497025248"/>
        <c:axId val="1004226128"/>
      </c:lineChart>
      <c:catAx>
        <c:axId val="49702524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226128"/>
        <c:crosses val="autoZero"/>
        <c:auto val="1"/>
        <c:lblAlgn val="ctr"/>
        <c:lblOffset val="100"/>
        <c:noMultiLvlLbl val="0"/>
      </c:catAx>
      <c:valAx>
        <c:axId val="100422612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25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 Inflation Trend (MoM %)</a:t>
            </a:r>
            <a:br>
              <a:rPr lang="en-IN"/>
            </a:br>
            <a:r>
              <a:rPr lang="en-IN"/>
              <a:t>Jun 2022 - May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Q3_Food!$F$1</c:f>
              <c:strCache>
                <c:ptCount val="1"/>
                <c:pt idx="0">
                  <c:v>MoM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Q3_Food!$D$2:$D$13</c:f>
              <c:numCache>
                <c:formatCode>m/d/yyyy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xVal>
          <c:yVal>
            <c:numRef>
              <c:f>Q3_Food!$F$2:$F$13</c:f>
              <c:numCache>
                <c:formatCode>0.00%</c:formatCode>
                <c:ptCount val="12"/>
                <c:pt idx="0" formatCode="General">
                  <c:v>0</c:v>
                </c:pt>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yVal>
          <c:smooth val="0"/>
          <c:extLst>
            <c:ext xmlns:c16="http://schemas.microsoft.com/office/drawing/2014/chart" uri="{C3380CC4-5D6E-409C-BE32-E72D297353CC}">
              <c16:uniqueId val="{00000000-A757-4A7A-92EC-FAD6E55952AA}"/>
            </c:ext>
          </c:extLst>
        </c:ser>
        <c:dLbls>
          <c:dLblPos val="t"/>
          <c:showLegendKey val="0"/>
          <c:showVal val="1"/>
          <c:showCatName val="0"/>
          <c:showSerName val="0"/>
          <c:showPercent val="0"/>
          <c:showBubbleSize val="0"/>
        </c:dLbls>
        <c:axId val="500081520"/>
        <c:axId val="500081880"/>
      </c:scatterChart>
      <c:valAx>
        <c:axId val="500081520"/>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81880"/>
        <c:crosses val="autoZero"/>
        <c:crossBetween val="midCat"/>
      </c:valAx>
      <c:valAx>
        <c:axId val="500081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815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Food Category Contributors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Q3_Food!$Q$1</c:f>
              <c:strCache>
                <c:ptCount val="1"/>
                <c:pt idx="0">
                  <c:v>Change</c:v>
                </c:pt>
              </c:strCache>
            </c:strRef>
          </c:tx>
          <c:spPr>
            <a:solidFill>
              <a:schemeClr val="accent1"/>
            </a:solidFill>
            <a:ln>
              <a:noFill/>
            </a:ln>
            <a:effectLst/>
          </c:spPr>
          <c:invertIfNegative val="0"/>
          <c:cat>
            <c:strRef>
              <c:f>Q3_Food!$N$2:$N$6</c:f>
              <c:strCache>
                <c:ptCount val="5"/>
                <c:pt idx="0">
                  <c:v>Spices</c:v>
                </c:pt>
                <c:pt idx="1">
                  <c:v>Cereals and products</c:v>
                </c:pt>
                <c:pt idx="2">
                  <c:v>Milk and products</c:v>
                </c:pt>
                <c:pt idx="3">
                  <c:v>Pulses and products</c:v>
                </c:pt>
                <c:pt idx="4">
                  <c:v>Prepared meals, snacks, sweets etc.</c:v>
                </c:pt>
              </c:strCache>
            </c:strRef>
          </c:cat>
          <c:val>
            <c:numRef>
              <c:f>Q3_Food!$Q$2:$Q$6</c:f>
              <c:numCache>
                <c:formatCode>0.00</c:formatCode>
                <c:ptCount val="5"/>
                <c:pt idx="0">
                  <c:v>30.900000000000006</c:v>
                </c:pt>
                <c:pt idx="1">
                  <c:v>18.699999999999989</c:v>
                </c:pt>
                <c:pt idx="2">
                  <c:v>13.699999999999989</c:v>
                </c:pt>
                <c:pt idx="3">
                  <c:v>11.299999999999983</c:v>
                </c:pt>
                <c:pt idx="4">
                  <c:v>10.299999999999983</c:v>
                </c:pt>
              </c:numCache>
            </c:numRef>
          </c:val>
          <c:extLst>
            <c:ext xmlns:c16="http://schemas.microsoft.com/office/drawing/2014/chart" uri="{C3380CC4-5D6E-409C-BE32-E72D297353CC}">
              <c16:uniqueId val="{00000000-AF53-467D-919C-F987684C177C}"/>
            </c:ext>
          </c:extLst>
        </c:ser>
        <c:dLbls>
          <c:showLegendKey val="0"/>
          <c:showVal val="0"/>
          <c:showCatName val="0"/>
          <c:showSerName val="0"/>
          <c:showPercent val="0"/>
          <c:showBubbleSize val="0"/>
        </c:dLbls>
        <c:gapWidth val="182"/>
        <c:axId val="203081800"/>
        <c:axId val="203080000"/>
      </c:barChart>
      <c:catAx>
        <c:axId val="203081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0000"/>
        <c:crosses val="autoZero"/>
        <c:auto val="1"/>
        <c:lblAlgn val="ctr"/>
        <c:lblOffset val="100"/>
        <c:noMultiLvlLbl val="0"/>
      </c:catAx>
      <c:valAx>
        <c:axId val="203080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81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COVID-19 Impact on Inflation Categories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Q4_COVID!$D$3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Q4_COVID!$C$4:$C$23</c:f>
              <c:strCache>
                <c:ptCount val="20"/>
                <c:pt idx="0">
                  <c:v>Post-COVID</c:v>
                </c:pt>
                <c:pt idx="1">
                  <c:v>Pre-COVID</c:v>
                </c:pt>
                <c:pt idx="5">
                  <c:v>Average of Food</c:v>
                </c:pt>
                <c:pt idx="6">
                  <c:v>Post-COVID</c:v>
                </c:pt>
                <c:pt idx="7">
                  <c:v>Pre-COVID</c:v>
                </c:pt>
                <c:pt idx="11">
                  <c:v>Average of Health</c:v>
                </c:pt>
                <c:pt idx="12">
                  <c:v>Post-COVID</c:v>
                </c:pt>
                <c:pt idx="13">
                  <c:v>Pre-COVID</c:v>
                </c:pt>
                <c:pt idx="17">
                  <c:v>Average Household Goods &amp; Services</c:v>
                </c:pt>
                <c:pt idx="18">
                  <c:v>Post-COVID</c:v>
                </c:pt>
                <c:pt idx="19">
                  <c:v>Pre-COVID</c:v>
                </c:pt>
              </c:strCache>
            </c:strRef>
          </c:cat>
          <c:val>
            <c:numRef>
              <c:f>Q4_COVID!$D$4:$D$23</c:f>
              <c:numCache>
                <c:formatCode>0.00</c:formatCode>
                <c:ptCount val="20"/>
                <c:pt idx="0">
                  <c:v>128.45770750988135</c:v>
                </c:pt>
                <c:pt idx="1">
                  <c:v>164.2538461538461</c:v>
                </c:pt>
                <c:pt idx="5" formatCode="General">
                  <c:v>0</c:v>
                </c:pt>
                <c:pt idx="6">
                  <c:v>128.94189723320159</c:v>
                </c:pt>
                <c:pt idx="7">
                  <c:v>153.87777777777779</c:v>
                </c:pt>
                <c:pt idx="11" formatCode="General">
                  <c:v>0</c:v>
                </c:pt>
                <c:pt idx="12">
                  <c:v>171.71250000000001</c:v>
                </c:pt>
                <c:pt idx="13">
                  <c:v>111.69193548387099</c:v>
                </c:pt>
                <c:pt idx="17" formatCode="General">
                  <c:v>0</c:v>
                </c:pt>
                <c:pt idx="18">
                  <c:v>126.81106719367587</c:v>
                </c:pt>
                <c:pt idx="19">
                  <c:v>158.97264957264946</c:v>
                </c:pt>
              </c:numCache>
            </c:numRef>
          </c:val>
          <c:extLst>
            <c:ext xmlns:c16="http://schemas.microsoft.com/office/drawing/2014/chart" uri="{C3380CC4-5D6E-409C-BE32-E72D297353CC}">
              <c16:uniqueId val="{00000000-9584-4CE3-BB91-E277577BC040}"/>
            </c:ext>
          </c:extLst>
        </c:ser>
        <c:dLbls>
          <c:dLblPos val="outEnd"/>
          <c:showLegendKey val="0"/>
          <c:showVal val="1"/>
          <c:showCatName val="0"/>
          <c:showSerName val="0"/>
          <c:showPercent val="0"/>
          <c:showBubbleSize val="0"/>
        </c:dLbls>
        <c:gapWidth val="219"/>
        <c:axId val="1076577112"/>
        <c:axId val="1076576032"/>
      </c:barChart>
      <c:catAx>
        <c:axId val="1076577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76032"/>
        <c:crosses val="autoZero"/>
        <c:auto val="1"/>
        <c:lblAlgn val="ctr"/>
        <c:lblOffset val="100"/>
        <c:noMultiLvlLbl val="0"/>
      </c:catAx>
      <c:valAx>
        <c:axId val="10765760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77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of Energy Prices on Inflation Categories</a:t>
            </a:r>
          </a:p>
          <a:p>
            <a:pPr>
              <a:defRPr/>
            </a:pPr>
            <a:r>
              <a:rPr lang="en-US"/>
              <a:t>(Correlation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Q5_Oil!$J$1</c:f>
              <c:strCache>
                <c:ptCount val="1"/>
                <c:pt idx="0">
                  <c:v>Correlation</c:v>
                </c:pt>
              </c:strCache>
            </c:strRef>
          </c:tx>
          <c:spPr>
            <a:solidFill>
              <a:schemeClr val="accent1"/>
            </a:solidFill>
            <a:ln>
              <a:noFill/>
            </a:ln>
            <a:effectLst/>
          </c:spPr>
          <c:invertIfNegative val="0"/>
          <c:cat>
            <c:strRef>
              <c:f>Q5_Oil!$I$2:$I$6</c:f>
              <c:strCache>
                <c:ptCount val="5"/>
                <c:pt idx="0">
                  <c:v>Household Goods</c:v>
                </c:pt>
                <c:pt idx="1">
                  <c:v>Education</c:v>
                </c:pt>
                <c:pt idx="2">
                  <c:v>Health</c:v>
                </c:pt>
                <c:pt idx="3">
                  <c:v>Transport</c:v>
                </c:pt>
                <c:pt idx="4">
                  <c:v>Food</c:v>
                </c:pt>
              </c:strCache>
            </c:strRef>
          </c:cat>
          <c:val>
            <c:numRef>
              <c:f>Q5_Oil!$J$2:$J$6</c:f>
              <c:numCache>
                <c:formatCode>0.00</c:formatCode>
                <c:ptCount val="5"/>
                <c:pt idx="0">
                  <c:v>0.48290481717531697</c:v>
                </c:pt>
                <c:pt idx="1">
                  <c:v>0.41586102982199047</c:v>
                </c:pt>
                <c:pt idx="2">
                  <c:v>0.45179277484652441</c:v>
                </c:pt>
                <c:pt idx="3">
                  <c:v>0.64359703910374755</c:v>
                </c:pt>
                <c:pt idx="4">
                  <c:v>0.55216235950806958</c:v>
                </c:pt>
              </c:numCache>
            </c:numRef>
          </c:val>
          <c:extLst>
            <c:ext xmlns:c16="http://schemas.microsoft.com/office/drawing/2014/chart" uri="{C3380CC4-5D6E-409C-BE32-E72D297353CC}">
              <c16:uniqueId val="{00000000-8720-4607-8585-CC70578AF5C5}"/>
            </c:ext>
          </c:extLst>
        </c:ser>
        <c:dLbls>
          <c:showLegendKey val="0"/>
          <c:showVal val="0"/>
          <c:showCatName val="0"/>
          <c:showSerName val="0"/>
          <c:showPercent val="0"/>
          <c:showBubbleSize val="0"/>
        </c:dLbls>
        <c:gapWidth val="182"/>
        <c:axId val="1080252944"/>
        <c:axId val="1080253304"/>
      </c:barChart>
      <c:catAx>
        <c:axId val="108025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53304"/>
        <c:crosses val="autoZero"/>
        <c:auto val="1"/>
        <c:lblAlgn val="ctr"/>
        <c:lblOffset val="100"/>
        <c:noMultiLvlLbl val="0"/>
      </c:catAx>
      <c:valAx>
        <c:axId val="10802533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52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Q5_Oil!$F$1</c:f>
              <c:strCache>
                <c:ptCount val="1"/>
                <c:pt idx="0">
                  <c:v>Household goods and services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Q5_Oil!$B$2:$B$30</c:f>
              <c:numCache>
                <c:formatCode>General</c:formatCode>
                <c:ptCount val="29"/>
                <c:pt idx="0">
                  <c:v>54.77</c:v>
                </c:pt>
                <c:pt idx="1">
                  <c:v>62.28</c:v>
                </c:pt>
                <c:pt idx="2">
                  <c:v>65.41</c:v>
                </c:pt>
                <c:pt idx="3">
                  <c:v>64.81</c:v>
                </c:pt>
                <c:pt idx="4">
                  <c:v>68.53</c:v>
                </c:pt>
                <c:pt idx="5">
                  <c:v>73.16</c:v>
                </c:pt>
                <c:pt idx="6">
                  <c:v>75.17</c:v>
                </c:pt>
                <c:pt idx="7">
                  <c:v>70.75</c:v>
                </c:pt>
                <c:pt idx="8">
                  <c:v>74.489999999999995</c:v>
                </c:pt>
                <c:pt idx="9">
                  <c:v>83.54</c:v>
                </c:pt>
                <c:pt idx="10">
                  <c:v>81.05</c:v>
                </c:pt>
                <c:pt idx="11">
                  <c:v>74.17</c:v>
                </c:pt>
                <c:pt idx="12">
                  <c:v>86.51</c:v>
                </c:pt>
                <c:pt idx="13">
                  <c:v>97.13</c:v>
                </c:pt>
                <c:pt idx="14">
                  <c:v>117.25</c:v>
                </c:pt>
                <c:pt idx="15">
                  <c:v>104.58</c:v>
                </c:pt>
                <c:pt idx="16">
                  <c:v>113.34</c:v>
                </c:pt>
                <c:pt idx="17">
                  <c:v>122.71</c:v>
                </c:pt>
                <c:pt idx="18">
                  <c:v>111.93</c:v>
                </c:pt>
                <c:pt idx="19">
                  <c:v>100.45</c:v>
                </c:pt>
                <c:pt idx="20">
                  <c:v>89.76</c:v>
                </c:pt>
                <c:pt idx="21">
                  <c:v>93.33</c:v>
                </c:pt>
                <c:pt idx="22">
                  <c:v>91.42</c:v>
                </c:pt>
                <c:pt idx="23">
                  <c:v>80.92</c:v>
                </c:pt>
                <c:pt idx="24">
                  <c:v>82.5</c:v>
                </c:pt>
                <c:pt idx="25">
                  <c:v>82.59</c:v>
                </c:pt>
                <c:pt idx="26">
                  <c:v>78.430000000000007</c:v>
                </c:pt>
                <c:pt idx="27">
                  <c:v>84.64</c:v>
                </c:pt>
                <c:pt idx="28">
                  <c:v>75.47</c:v>
                </c:pt>
              </c:numCache>
            </c:numRef>
          </c:xVal>
          <c:yVal>
            <c:numRef>
              <c:f>Q5_Oil!$F$2:$F$30</c:f>
              <c:numCache>
                <c:formatCode>General</c:formatCode>
                <c:ptCount val="29"/>
                <c:pt idx="0">
                  <c:v>150</c:v>
                </c:pt>
                <c:pt idx="1">
                  <c:v>150.9</c:v>
                </c:pt>
                <c:pt idx="2">
                  <c:v>151.19999999999999</c:v>
                </c:pt>
                <c:pt idx="3">
                  <c:v>151.80000000000001</c:v>
                </c:pt>
                <c:pt idx="4">
                  <c:v>154.69999999999999</c:v>
                </c:pt>
                <c:pt idx="5">
                  <c:v>154.80000000000001</c:v>
                </c:pt>
                <c:pt idx="6">
                  <c:v>155.80000000000001</c:v>
                </c:pt>
                <c:pt idx="7">
                  <c:v>157.5</c:v>
                </c:pt>
                <c:pt idx="8">
                  <c:v>157.5</c:v>
                </c:pt>
                <c:pt idx="9">
                  <c:v>158.4</c:v>
                </c:pt>
                <c:pt idx="10">
                  <c:v>159.30000000000001</c:v>
                </c:pt>
                <c:pt idx="11">
                  <c:v>160.19999999999999</c:v>
                </c:pt>
                <c:pt idx="12">
                  <c:v>161.1</c:v>
                </c:pt>
                <c:pt idx="13">
                  <c:v>161.80000000000001</c:v>
                </c:pt>
                <c:pt idx="14">
                  <c:v>162.80000000000001</c:v>
                </c:pt>
                <c:pt idx="15">
                  <c:v>164</c:v>
                </c:pt>
                <c:pt idx="16">
                  <c:v>165.2</c:v>
                </c:pt>
                <c:pt idx="17">
                  <c:v>166.4</c:v>
                </c:pt>
                <c:pt idx="18">
                  <c:v>167.4</c:v>
                </c:pt>
                <c:pt idx="19">
                  <c:v>168.5</c:v>
                </c:pt>
                <c:pt idx="20">
                  <c:v>169.5</c:v>
                </c:pt>
                <c:pt idx="21">
                  <c:v>170.4</c:v>
                </c:pt>
                <c:pt idx="22">
                  <c:v>171.4</c:v>
                </c:pt>
                <c:pt idx="23">
                  <c:v>172.1</c:v>
                </c:pt>
                <c:pt idx="24">
                  <c:v>172.9</c:v>
                </c:pt>
                <c:pt idx="25">
                  <c:v>174.2</c:v>
                </c:pt>
                <c:pt idx="26">
                  <c:v>174.2</c:v>
                </c:pt>
                <c:pt idx="27">
                  <c:v>174.6</c:v>
                </c:pt>
                <c:pt idx="28">
                  <c:v>175.2</c:v>
                </c:pt>
              </c:numCache>
            </c:numRef>
          </c:yVal>
          <c:smooth val="0"/>
          <c:extLst>
            <c:ext xmlns:c16="http://schemas.microsoft.com/office/drawing/2014/chart" uri="{C3380CC4-5D6E-409C-BE32-E72D297353CC}">
              <c16:uniqueId val="{00000000-C7F9-4689-9FF7-DC53CE490DD7}"/>
            </c:ext>
          </c:extLst>
        </c:ser>
        <c:dLbls>
          <c:showLegendKey val="0"/>
          <c:showVal val="0"/>
          <c:showCatName val="0"/>
          <c:showSerName val="0"/>
          <c:showPercent val="0"/>
          <c:showBubbleSize val="0"/>
        </c:dLbls>
        <c:axId val="643230704"/>
        <c:axId val="643231064"/>
      </c:scatterChart>
      <c:valAx>
        <c:axId val="64323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31064"/>
        <c:crosses val="autoZero"/>
        <c:crossBetween val="midCat"/>
      </c:valAx>
      <c:valAx>
        <c:axId val="643231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307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Q5_Oil!$G$1</c:f>
              <c:strCache>
                <c:ptCount val="1"/>
                <c:pt idx="0">
                  <c:v>Education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Q5_Oil!$B$2:$B$30</c:f>
              <c:numCache>
                <c:formatCode>General</c:formatCode>
                <c:ptCount val="29"/>
                <c:pt idx="0">
                  <c:v>54.77</c:v>
                </c:pt>
                <c:pt idx="1">
                  <c:v>62.28</c:v>
                </c:pt>
                <c:pt idx="2">
                  <c:v>65.41</c:v>
                </c:pt>
                <c:pt idx="3">
                  <c:v>64.81</c:v>
                </c:pt>
                <c:pt idx="4">
                  <c:v>68.53</c:v>
                </c:pt>
                <c:pt idx="5">
                  <c:v>73.16</c:v>
                </c:pt>
                <c:pt idx="6">
                  <c:v>75.17</c:v>
                </c:pt>
                <c:pt idx="7">
                  <c:v>70.75</c:v>
                </c:pt>
                <c:pt idx="8">
                  <c:v>74.489999999999995</c:v>
                </c:pt>
                <c:pt idx="9">
                  <c:v>83.54</c:v>
                </c:pt>
                <c:pt idx="10">
                  <c:v>81.05</c:v>
                </c:pt>
                <c:pt idx="11">
                  <c:v>74.17</c:v>
                </c:pt>
                <c:pt idx="12">
                  <c:v>86.51</c:v>
                </c:pt>
                <c:pt idx="13">
                  <c:v>97.13</c:v>
                </c:pt>
                <c:pt idx="14">
                  <c:v>117.25</c:v>
                </c:pt>
                <c:pt idx="15">
                  <c:v>104.58</c:v>
                </c:pt>
                <c:pt idx="16">
                  <c:v>113.34</c:v>
                </c:pt>
                <c:pt idx="17">
                  <c:v>122.71</c:v>
                </c:pt>
                <c:pt idx="18">
                  <c:v>111.93</c:v>
                </c:pt>
                <c:pt idx="19">
                  <c:v>100.45</c:v>
                </c:pt>
                <c:pt idx="20">
                  <c:v>89.76</c:v>
                </c:pt>
                <c:pt idx="21">
                  <c:v>93.33</c:v>
                </c:pt>
                <c:pt idx="22">
                  <c:v>91.42</c:v>
                </c:pt>
                <c:pt idx="23">
                  <c:v>80.92</c:v>
                </c:pt>
                <c:pt idx="24">
                  <c:v>82.5</c:v>
                </c:pt>
                <c:pt idx="25">
                  <c:v>82.59</c:v>
                </c:pt>
                <c:pt idx="26">
                  <c:v>78.430000000000007</c:v>
                </c:pt>
                <c:pt idx="27">
                  <c:v>84.64</c:v>
                </c:pt>
                <c:pt idx="28">
                  <c:v>75.47</c:v>
                </c:pt>
              </c:numCache>
            </c:numRef>
          </c:xVal>
          <c:yVal>
            <c:numRef>
              <c:f>Q5_Oil!$G$2:$G$30</c:f>
              <c:numCache>
                <c:formatCode>General</c:formatCode>
                <c:ptCount val="29"/>
                <c:pt idx="0">
                  <c:v>159.19999999999999</c:v>
                </c:pt>
                <c:pt idx="1">
                  <c:v>159.5</c:v>
                </c:pt>
                <c:pt idx="2">
                  <c:v>160.19999999999999</c:v>
                </c:pt>
                <c:pt idx="3">
                  <c:v>160.30000000000001</c:v>
                </c:pt>
                <c:pt idx="4">
                  <c:v>161.19999999999999</c:v>
                </c:pt>
                <c:pt idx="5">
                  <c:v>161.69999999999999</c:v>
                </c:pt>
                <c:pt idx="6">
                  <c:v>163.19999999999999</c:v>
                </c:pt>
                <c:pt idx="7">
                  <c:v>163.80000000000001</c:v>
                </c:pt>
                <c:pt idx="8">
                  <c:v>163.69999999999999</c:v>
                </c:pt>
                <c:pt idx="9">
                  <c:v>163.9</c:v>
                </c:pt>
                <c:pt idx="10">
                  <c:v>164.3</c:v>
                </c:pt>
                <c:pt idx="11">
                  <c:v>164.4</c:v>
                </c:pt>
                <c:pt idx="12">
                  <c:v>164.7</c:v>
                </c:pt>
                <c:pt idx="13">
                  <c:v>165.4</c:v>
                </c:pt>
                <c:pt idx="14">
                  <c:v>166</c:v>
                </c:pt>
                <c:pt idx="15">
                  <c:v>166.9</c:v>
                </c:pt>
                <c:pt idx="16">
                  <c:v>167.9</c:v>
                </c:pt>
                <c:pt idx="17">
                  <c:v>169</c:v>
                </c:pt>
                <c:pt idx="18">
                  <c:v>171.4</c:v>
                </c:pt>
                <c:pt idx="19">
                  <c:v>172.3</c:v>
                </c:pt>
                <c:pt idx="20">
                  <c:v>173.1</c:v>
                </c:pt>
                <c:pt idx="21">
                  <c:v>173.4</c:v>
                </c:pt>
                <c:pt idx="22">
                  <c:v>173.7</c:v>
                </c:pt>
                <c:pt idx="23">
                  <c:v>174.1</c:v>
                </c:pt>
                <c:pt idx="24">
                  <c:v>174.3</c:v>
                </c:pt>
                <c:pt idx="25">
                  <c:v>175</c:v>
                </c:pt>
                <c:pt idx="26">
                  <c:v>175</c:v>
                </c:pt>
                <c:pt idx="27">
                  <c:v>176.4</c:v>
                </c:pt>
                <c:pt idx="28">
                  <c:v>177.1</c:v>
                </c:pt>
              </c:numCache>
            </c:numRef>
          </c:yVal>
          <c:smooth val="0"/>
          <c:extLst>
            <c:ext xmlns:c16="http://schemas.microsoft.com/office/drawing/2014/chart" uri="{C3380CC4-5D6E-409C-BE32-E72D297353CC}">
              <c16:uniqueId val="{00000000-8095-499D-990B-C491CCBD56A5}"/>
            </c:ext>
          </c:extLst>
        </c:ser>
        <c:dLbls>
          <c:showLegendKey val="0"/>
          <c:showVal val="0"/>
          <c:showCatName val="0"/>
          <c:showSerName val="0"/>
          <c:showPercent val="0"/>
          <c:showBubbleSize val="0"/>
        </c:dLbls>
        <c:axId val="1108257768"/>
        <c:axId val="1108265328"/>
      </c:scatterChart>
      <c:valAx>
        <c:axId val="1108257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65328"/>
        <c:crosses val="autoZero"/>
        <c:crossBetween val="midCat"/>
      </c:valAx>
      <c:valAx>
        <c:axId val="110826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577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136482939632545E-2"/>
          <c:y val="0.26361863493434173"/>
          <c:w val="0.87119685039370076"/>
          <c:h val="0.5587816456574316"/>
        </c:manualLayout>
      </c:layout>
      <c:scatterChart>
        <c:scatterStyle val="lineMarker"/>
        <c:varyColors val="0"/>
        <c:ser>
          <c:idx val="0"/>
          <c:order val="0"/>
          <c:tx>
            <c:strRef>
              <c:f>Q5_Oil!$D$1</c:f>
              <c:strCache>
                <c:ptCount val="1"/>
                <c:pt idx="0">
                  <c:v>Health</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Q5_Oil!$B$2:$B$30</c:f>
              <c:numCache>
                <c:formatCode>General</c:formatCode>
                <c:ptCount val="29"/>
                <c:pt idx="0">
                  <c:v>54.77</c:v>
                </c:pt>
                <c:pt idx="1">
                  <c:v>62.28</c:v>
                </c:pt>
                <c:pt idx="2">
                  <c:v>65.41</c:v>
                </c:pt>
                <c:pt idx="3">
                  <c:v>64.81</c:v>
                </c:pt>
                <c:pt idx="4">
                  <c:v>68.53</c:v>
                </c:pt>
                <c:pt idx="5">
                  <c:v>73.16</c:v>
                </c:pt>
                <c:pt idx="6">
                  <c:v>75.17</c:v>
                </c:pt>
                <c:pt idx="7">
                  <c:v>70.75</c:v>
                </c:pt>
                <c:pt idx="8">
                  <c:v>74.489999999999995</c:v>
                </c:pt>
                <c:pt idx="9">
                  <c:v>83.54</c:v>
                </c:pt>
                <c:pt idx="10">
                  <c:v>81.05</c:v>
                </c:pt>
                <c:pt idx="11">
                  <c:v>74.17</c:v>
                </c:pt>
                <c:pt idx="12">
                  <c:v>86.51</c:v>
                </c:pt>
                <c:pt idx="13">
                  <c:v>97.13</c:v>
                </c:pt>
                <c:pt idx="14">
                  <c:v>117.25</c:v>
                </c:pt>
                <c:pt idx="15">
                  <c:v>104.58</c:v>
                </c:pt>
                <c:pt idx="16">
                  <c:v>113.34</c:v>
                </c:pt>
                <c:pt idx="17">
                  <c:v>122.71</c:v>
                </c:pt>
                <c:pt idx="18">
                  <c:v>111.93</c:v>
                </c:pt>
                <c:pt idx="19">
                  <c:v>100.45</c:v>
                </c:pt>
                <c:pt idx="20">
                  <c:v>89.76</c:v>
                </c:pt>
                <c:pt idx="21">
                  <c:v>93.33</c:v>
                </c:pt>
                <c:pt idx="22">
                  <c:v>91.42</c:v>
                </c:pt>
                <c:pt idx="23">
                  <c:v>80.92</c:v>
                </c:pt>
                <c:pt idx="24">
                  <c:v>82.5</c:v>
                </c:pt>
                <c:pt idx="25">
                  <c:v>82.59</c:v>
                </c:pt>
                <c:pt idx="26">
                  <c:v>78.430000000000007</c:v>
                </c:pt>
                <c:pt idx="27">
                  <c:v>84.64</c:v>
                </c:pt>
                <c:pt idx="28">
                  <c:v>75.47</c:v>
                </c:pt>
              </c:numCache>
            </c:numRef>
          </c:xVal>
          <c:yVal>
            <c:numRef>
              <c:f>Q5_Oil!$D$2:$D$30</c:f>
              <c:numCache>
                <c:formatCode>General</c:formatCode>
                <c:ptCount val="29"/>
                <c:pt idx="0">
                  <c:v>159.30000000000001</c:v>
                </c:pt>
                <c:pt idx="1">
                  <c:v>161.30000000000001</c:v>
                </c:pt>
                <c:pt idx="2">
                  <c:v>161.69999999999999</c:v>
                </c:pt>
                <c:pt idx="3">
                  <c:v>162.30000000000001</c:v>
                </c:pt>
                <c:pt idx="4">
                  <c:v>165.8</c:v>
                </c:pt>
                <c:pt idx="5">
                  <c:v>166.3</c:v>
                </c:pt>
                <c:pt idx="6">
                  <c:v>167</c:v>
                </c:pt>
                <c:pt idx="7">
                  <c:v>168.4</c:v>
                </c:pt>
                <c:pt idx="8">
                  <c:v>168.4</c:v>
                </c:pt>
                <c:pt idx="9">
                  <c:v>169.1</c:v>
                </c:pt>
                <c:pt idx="10">
                  <c:v>169.9</c:v>
                </c:pt>
                <c:pt idx="11">
                  <c:v>170.6</c:v>
                </c:pt>
                <c:pt idx="12">
                  <c:v>171.4</c:v>
                </c:pt>
                <c:pt idx="13">
                  <c:v>172.2</c:v>
                </c:pt>
                <c:pt idx="14">
                  <c:v>173</c:v>
                </c:pt>
                <c:pt idx="15">
                  <c:v>174</c:v>
                </c:pt>
                <c:pt idx="16">
                  <c:v>174.8</c:v>
                </c:pt>
                <c:pt idx="17">
                  <c:v>175.4</c:v>
                </c:pt>
                <c:pt idx="18">
                  <c:v>176.1</c:v>
                </c:pt>
                <c:pt idx="19">
                  <c:v>176.8</c:v>
                </c:pt>
                <c:pt idx="20">
                  <c:v>177.8</c:v>
                </c:pt>
                <c:pt idx="21">
                  <c:v>178.7</c:v>
                </c:pt>
                <c:pt idx="22">
                  <c:v>179.8</c:v>
                </c:pt>
                <c:pt idx="23">
                  <c:v>181.1</c:v>
                </c:pt>
                <c:pt idx="24">
                  <c:v>182.3</c:v>
                </c:pt>
                <c:pt idx="25">
                  <c:v>184.4</c:v>
                </c:pt>
                <c:pt idx="26">
                  <c:v>184.4</c:v>
                </c:pt>
                <c:pt idx="27">
                  <c:v>185</c:v>
                </c:pt>
                <c:pt idx="28">
                  <c:v>185.7</c:v>
                </c:pt>
              </c:numCache>
            </c:numRef>
          </c:yVal>
          <c:smooth val="0"/>
          <c:extLst>
            <c:ext xmlns:c16="http://schemas.microsoft.com/office/drawing/2014/chart" uri="{C3380CC4-5D6E-409C-BE32-E72D297353CC}">
              <c16:uniqueId val="{00000000-F7E2-4E80-83AA-5B0F4BF9CC7B}"/>
            </c:ext>
          </c:extLst>
        </c:ser>
        <c:dLbls>
          <c:showLegendKey val="0"/>
          <c:showVal val="0"/>
          <c:showCatName val="0"/>
          <c:showSerName val="0"/>
          <c:showPercent val="0"/>
          <c:showBubbleSize val="0"/>
        </c:dLbls>
        <c:axId val="1108267848"/>
        <c:axId val="1108267128"/>
      </c:scatterChart>
      <c:valAx>
        <c:axId val="1108267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67128"/>
        <c:crosses val="autoZero"/>
        <c:crossBetween val="midCat"/>
      </c:valAx>
      <c:valAx>
        <c:axId val="1108267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678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Q5_Oil!$E$1</c:f>
              <c:strCache>
                <c:ptCount val="1"/>
                <c:pt idx="0">
                  <c:v>Transport and communication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Q5_Oil!$B$2:$B$30</c:f>
              <c:numCache>
                <c:formatCode>General</c:formatCode>
                <c:ptCount val="29"/>
                <c:pt idx="0">
                  <c:v>54.77</c:v>
                </c:pt>
                <c:pt idx="1">
                  <c:v>62.28</c:v>
                </c:pt>
                <c:pt idx="2">
                  <c:v>65.41</c:v>
                </c:pt>
                <c:pt idx="3">
                  <c:v>64.81</c:v>
                </c:pt>
                <c:pt idx="4">
                  <c:v>68.53</c:v>
                </c:pt>
                <c:pt idx="5">
                  <c:v>73.16</c:v>
                </c:pt>
                <c:pt idx="6">
                  <c:v>75.17</c:v>
                </c:pt>
                <c:pt idx="7">
                  <c:v>70.75</c:v>
                </c:pt>
                <c:pt idx="8">
                  <c:v>74.489999999999995</c:v>
                </c:pt>
                <c:pt idx="9">
                  <c:v>83.54</c:v>
                </c:pt>
                <c:pt idx="10">
                  <c:v>81.05</c:v>
                </c:pt>
                <c:pt idx="11">
                  <c:v>74.17</c:v>
                </c:pt>
                <c:pt idx="12">
                  <c:v>86.51</c:v>
                </c:pt>
                <c:pt idx="13">
                  <c:v>97.13</c:v>
                </c:pt>
                <c:pt idx="14">
                  <c:v>117.25</c:v>
                </c:pt>
                <c:pt idx="15">
                  <c:v>104.58</c:v>
                </c:pt>
                <c:pt idx="16">
                  <c:v>113.34</c:v>
                </c:pt>
                <c:pt idx="17">
                  <c:v>122.71</c:v>
                </c:pt>
                <c:pt idx="18">
                  <c:v>111.93</c:v>
                </c:pt>
                <c:pt idx="19">
                  <c:v>100.45</c:v>
                </c:pt>
                <c:pt idx="20">
                  <c:v>89.76</c:v>
                </c:pt>
                <c:pt idx="21">
                  <c:v>93.33</c:v>
                </c:pt>
                <c:pt idx="22">
                  <c:v>91.42</c:v>
                </c:pt>
                <c:pt idx="23">
                  <c:v>80.92</c:v>
                </c:pt>
                <c:pt idx="24">
                  <c:v>82.5</c:v>
                </c:pt>
                <c:pt idx="25">
                  <c:v>82.59</c:v>
                </c:pt>
                <c:pt idx="26">
                  <c:v>78.430000000000007</c:v>
                </c:pt>
                <c:pt idx="27">
                  <c:v>84.64</c:v>
                </c:pt>
                <c:pt idx="28">
                  <c:v>75.47</c:v>
                </c:pt>
              </c:numCache>
            </c:numRef>
          </c:xVal>
          <c:yVal>
            <c:numRef>
              <c:f>Q5_Oil!$E$2:$E$30</c:f>
              <c:numCache>
                <c:formatCode>General</c:formatCode>
                <c:ptCount val="29"/>
                <c:pt idx="0">
                  <c:v>141.9</c:v>
                </c:pt>
                <c:pt idx="1">
                  <c:v>145.1</c:v>
                </c:pt>
                <c:pt idx="2">
                  <c:v>146.19999999999999</c:v>
                </c:pt>
                <c:pt idx="3">
                  <c:v>146.6</c:v>
                </c:pt>
                <c:pt idx="4">
                  <c:v>148.9</c:v>
                </c:pt>
                <c:pt idx="5">
                  <c:v>150.69999999999999</c:v>
                </c:pt>
                <c:pt idx="6">
                  <c:v>153.1</c:v>
                </c:pt>
                <c:pt idx="7">
                  <c:v>154</c:v>
                </c:pt>
                <c:pt idx="8">
                  <c:v>154</c:v>
                </c:pt>
                <c:pt idx="9">
                  <c:v>155.69999999999999</c:v>
                </c:pt>
                <c:pt idx="10">
                  <c:v>154.80000000000001</c:v>
                </c:pt>
                <c:pt idx="11">
                  <c:v>155.69999999999999</c:v>
                </c:pt>
                <c:pt idx="12">
                  <c:v>156.5</c:v>
                </c:pt>
                <c:pt idx="13">
                  <c:v>156.9</c:v>
                </c:pt>
                <c:pt idx="14">
                  <c:v>157.9</c:v>
                </c:pt>
                <c:pt idx="15">
                  <c:v>162.6</c:v>
                </c:pt>
                <c:pt idx="16">
                  <c:v>163</c:v>
                </c:pt>
                <c:pt idx="17">
                  <c:v>161.1</c:v>
                </c:pt>
                <c:pt idx="18">
                  <c:v>161.6</c:v>
                </c:pt>
                <c:pt idx="19">
                  <c:v>161.9</c:v>
                </c:pt>
                <c:pt idx="20">
                  <c:v>162.30000000000001</c:v>
                </c:pt>
                <c:pt idx="21">
                  <c:v>162.9</c:v>
                </c:pt>
                <c:pt idx="22">
                  <c:v>163</c:v>
                </c:pt>
                <c:pt idx="23">
                  <c:v>163.4</c:v>
                </c:pt>
                <c:pt idx="24">
                  <c:v>163.6</c:v>
                </c:pt>
                <c:pt idx="25">
                  <c:v>164.2</c:v>
                </c:pt>
                <c:pt idx="26">
                  <c:v>164.2</c:v>
                </c:pt>
                <c:pt idx="27">
                  <c:v>164.5</c:v>
                </c:pt>
                <c:pt idx="28">
                  <c:v>164.8</c:v>
                </c:pt>
              </c:numCache>
            </c:numRef>
          </c:yVal>
          <c:smooth val="0"/>
          <c:extLst>
            <c:ext xmlns:c16="http://schemas.microsoft.com/office/drawing/2014/chart" uri="{C3380CC4-5D6E-409C-BE32-E72D297353CC}">
              <c16:uniqueId val="{00000000-E9D6-4FED-959C-FBD9DBF3C5A0}"/>
            </c:ext>
          </c:extLst>
        </c:ser>
        <c:dLbls>
          <c:showLegendKey val="0"/>
          <c:showVal val="0"/>
          <c:showCatName val="0"/>
          <c:showSerName val="0"/>
          <c:showPercent val="0"/>
          <c:showBubbleSize val="0"/>
        </c:dLbls>
        <c:axId val="1108265688"/>
        <c:axId val="1108257768"/>
      </c:scatterChart>
      <c:valAx>
        <c:axId val="1108265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57768"/>
        <c:crosses val="autoZero"/>
        <c:crossBetween val="midCat"/>
      </c:valAx>
      <c:valAx>
        <c:axId val="1108257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656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Q5_Oil!$C$1</c:f>
              <c:strCache>
                <c:ptCount val="1"/>
                <c:pt idx="0">
                  <c:v>Food and beverages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Q5_Oil!$B$2:$B$30</c:f>
              <c:numCache>
                <c:formatCode>General</c:formatCode>
                <c:ptCount val="29"/>
                <c:pt idx="0">
                  <c:v>54.77</c:v>
                </c:pt>
                <c:pt idx="1">
                  <c:v>62.28</c:v>
                </c:pt>
                <c:pt idx="2">
                  <c:v>65.41</c:v>
                </c:pt>
                <c:pt idx="3">
                  <c:v>64.81</c:v>
                </c:pt>
                <c:pt idx="4">
                  <c:v>68.53</c:v>
                </c:pt>
                <c:pt idx="5">
                  <c:v>73.16</c:v>
                </c:pt>
                <c:pt idx="6">
                  <c:v>75.17</c:v>
                </c:pt>
                <c:pt idx="7">
                  <c:v>70.75</c:v>
                </c:pt>
                <c:pt idx="8">
                  <c:v>74.489999999999995</c:v>
                </c:pt>
                <c:pt idx="9">
                  <c:v>83.54</c:v>
                </c:pt>
                <c:pt idx="10">
                  <c:v>81.05</c:v>
                </c:pt>
                <c:pt idx="11">
                  <c:v>74.17</c:v>
                </c:pt>
                <c:pt idx="12">
                  <c:v>86.51</c:v>
                </c:pt>
                <c:pt idx="13">
                  <c:v>97.13</c:v>
                </c:pt>
                <c:pt idx="14">
                  <c:v>117.25</c:v>
                </c:pt>
                <c:pt idx="15">
                  <c:v>104.58</c:v>
                </c:pt>
                <c:pt idx="16">
                  <c:v>113.34</c:v>
                </c:pt>
                <c:pt idx="17">
                  <c:v>122.71</c:v>
                </c:pt>
                <c:pt idx="18">
                  <c:v>111.93</c:v>
                </c:pt>
                <c:pt idx="19">
                  <c:v>100.45</c:v>
                </c:pt>
                <c:pt idx="20">
                  <c:v>89.76</c:v>
                </c:pt>
                <c:pt idx="21">
                  <c:v>93.33</c:v>
                </c:pt>
                <c:pt idx="22">
                  <c:v>91.42</c:v>
                </c:pt>
                <c:pt idx="23">
                  <c:v>80.92</c:v>
                </c:pt>
                <c:pt idx="24">
                  <c:v>82.5</c:v>
                </c:pt>
                <c:pt idx="25">
                  <c:v>82.59</c:v>
                </c:pt>
                <c:pt idx="26">
                  <c:v>78.430000000000007</c:v>
                </c:pt>
                <c:pt idx="27">
                  <c:v>84.64</c:v>
                </c:pt>
                <c:pt idx="28">
                  <c:v>75.47</c:v>
                </c:pt>
              </c:numCache>
            </c:numRef>
          </c:xVal>
          <c:yVal>
            <c:numRef>
              <c:f>Q5_Oil!$C$2:$C$30</c:f>
              <c:numCache>
                <c:formatCode>General</c:formatCode>
                <c:ptCount val="29"/>
                <c:pt idx="0">
                  <c:v>161</c:v>
                </c:pt>
                <c:pt idx="1">
                  <c:v>156.9</c:v>
                </c:pt>
                <c:pt idx="2">
                  <c:v>156.69999999999999</c:v>
                </c:pt>
                <c:pt idx="3">
                  <c:v>158</c:v>
                </c:pt>
                <c:pt idx="4">
                  <c:v>160.69999999999999</c:v>
                </c:pt>
                <c:pt idx="5">
                  <c:v>162.6</c:v>
                </c:pt>
                <c:pt idx="6">
                  <c:v>164</c:v>
                </c:pt>
                <c:pt idx="7">
                  <c:v>164</c:v>
                </c:pt>
                <c:pt idx="8">
                  <c:v>164</c:v>
                </c:pt>
                <c:pt idx="9">
                  <c:v>167.7</c:v>
                </c:pt>
                <c:pt idx="10">
                  <c:v>169.7</c:v>
                </c:pt>
                <c:pt idx="11">
                  <c:v>168.2</c:v>
                </c:pt>
                <c:pt idx="12">
                  <c:v>166.4</c:v>
                </c:pt>
                <c:pt idx="13">
                  <c:v>166.2</c:v>
                </c:pt>
                <c:pt idx="14">
                  <c:v>168.4</c:v>
                </c:pt>
                <c:pt idx="15">
                  <c:v>170.8</c:v>
                </c:pt>
                <c:pt idx="16">
                  <c:v>173.3</c:v>
                </c:pt>
                <c:pt idx="17">
                  <c:v>174.9</c:v>
                </c:pt>
                <c:pt idx="18">
                  <c:v>175</c:v>
                </c:pt>
                <c:pt idx="19">
                  <c:v>176.3</c:v>
                </c:pt>
                <c:pt idx="20">
                  <c:v>177.8</c:v>
                </c:pt>
                <c:pt idx="21">
                  <c:v>179.6</c:v>
                </c:pt>
                <c:pt idx="22">
                  <c:v>178.3</c:v>
                </c:pt>
                <c:pt idx="23">
                  <c:v>175.9</c:v>
                </c:pt>
                <c:pt idx="24">
                  <c:v>176.7</c:v>
                </c:pt>
                <c:pt idx="25">
                  <c:v>177</c:v>
                </c:pt>
                <c:pt idx="26">
                  <c:v>177</c:v>
                </c:pt>
                <c:pt idx="27">
                  <c:v>177.9</c:v>
                </c:pt>
                <c:pt idx="28">
                  <c:v>179.1</c:v>
                </c:pt>
              </c:numCache>
            </c:numRef>
          </c:yVal>
          <c:smooth val="0"/>
          <c:extLst>
            <c:ext xmlns:c16="http://schemas.microsoft.com/office/drawing/2014/chart" uri="{C3380CC4-5D6E-409C-BE32-E72D297353CC}">
              <c16:uniqueId val="{00000000-CA4F-4C8E-9836-9DF4490E6724}"/>
            </c:ext>
          </c:extLst>
        </c:ser>
        <c:dLbls>
          <c:showLegendKey val="0"/>
          <c:showVal val="0"/>
          <c:showCatName val="0"/>
          <c:showSerName val="0"/>
          <c:showPercent val="0"/>
          <c:showBubbleSize val="0"/>
        </c:dLbls>
        <c:axId val="1108261728"/>
        <c:axId val="1108263528"/>
      </c:scatterChart>
      <c:valAx>
        <c:axId val="110826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63528"/>
        <c:crosses val="autoZero"/>
        <c:crossBetween val="midCat"/>
      </c:valAx>
      <c:valAx>
        <c:axId val="1108263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617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30480</xdr:colOff>
      <xdr:row>14</xdr:row>
      <xdr:rowOff>152400</xdr:rowOff>
    </xdr:from>
    <xdr:to>
      <xdr:col>8</xdr:col>
      <xdr:colOff>235131</xdr:colOff>
      <xdr:row>30</xdr:row>
      <xdr:rowOff>14216</xdr:rowOff>
    </xdr:to>
    <xdr:graphicFrame macro="">
      <xdr:nvGraphicFramePr>
        <xdr:cNvPr id="3" name="Chart 2">
          <a:extLst>
            <a:ext uri="{FF2B5EF4-FFF2-40B4-BE49-F238E27FC236}">
              <a16:creationId xmlns:a16="http://schemas.microsoft.com/office/drawing/2014/main" id="{DB47F05E-FDE6-4BA8-8932-244634512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502024</xdr:colOff>
      <xdr:row>14</xdr:row>
      <xdr:rowOff>170330</xdr:rowOff>
    </xdr:from>
    <xdr:to>
      <xdr:col>17</xdr:col>
      <xdr:colOff>549772</xdr:colOff>
      <xdr:row>29</xdr:row>
      <xdr:rowOff>170330</xdr:rowOff>
    </xdr:to>
    <xdr:graphicFrame macro="">
      <xdr:nvGraphicFramePr>
        <xdr:cNvPr id="4" name="Chart 3">
          <a:extLst>
            <a:ext uri="{FF2B5EF4-FFF2-40B4-BE49-F238E27FC236}">
              <a16:creationId xmlns:a16="http://schemas.microsoft.com/office/drawing/2014/main" id="{BC6D528A-8FA5-496E-9681-C2A2B150B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8966</xdr:colOff>
      <xdr:row>30</xdr:row>
      <xdr:rowOff>98612</xdr:rowOff>
    </xdr:from>
    <xdr:to>
      <xdr:col>10</xdr:col>
      <xdr:colOff>886691</xdr:colOff>
      <xdr:row>45</xdr:row>
      <xdr:rowOff>65954</xdr:rowOff>
    </xdr:to>
    <xdr:graphicFrame macro="">
      <xdr:nvGraphicFramePr>
        <xdr:cNvPr id="2" name="Chart 1">
          <a:extLst>
            <a:ext uri="{FF2B5EF4-FFF2-40B4-BE49-F238E27FC236}">
              <a16:creationId xmlns:a16="http://schemas.microsoft.com/office/drawing/2014/main" id="{F8EE3C78-1D95-4B92-B5E7-33C20497A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26199</xdr:colOff>
      <xdr:row>45</xdr:row>
      <xdr:rowOff>147278</xdr:rowOff>
    </xdr:from>
    <xdr:to>
      <xdr:col>8</xdr:col>
      <xdr:colOff>263237</xdr:colOff>
      <xdr:row>60</xdr:row>
      <xdr:rowOff>114620</xdr:rowOff>
    </xdr:to>
    <xdr:graphicFrame macro="">
      <xdr:nvGraphicFramePr>
        <xdr:cNvPr id="5" name="Chart 4">
          <a:extLst>
            <a:ext uri="{FF2B5EF4-FFF2-40B4-BE49-F238E27FC236}">
              <a16:creationId xmlns:a16="http://schemas.microsoft.com/office/drawing/2014/main" id="{A414989E-3622-4EF7-9C3F-7F633D660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969818</xdr:colOff>
      <xdr:row>30</xdr:row>
      <xdr:rowOff>13854</xdr:rowOff>
    </xdr:from>
    <xdr:to>
      <xdr:col>17</xdr:col>
      <xdr:colOff>526473</xdr:colOff>
      <xdr:row>45</xdr:row>
      <xdr:rowOff>55418</xdr:rowOff>
    </xdr:to>
    <xdr:graphicFrame macro="">
      <xdr:nvGraphicFramePr>
        <xdr:cNvPr id="7" name="Chart 6">
          <a:extLst>
            <a:ext uri="{FF2B5EF4-FFF2-40B4-BE49-F238E27FC236}">
              <a16:creationId xmlns:a16="http://schemas.microsoft.com/office/drawing/2014/main" id="{8C12777E-0023-4ED6-B637-A1B2B6556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19</xdr:col>
      <xdr:colOff>175161</xdr:colOff>
      <xdr:row>13</xdr:row>
      <xdr:rowOff>13854</xdr:rowOff>
    </xdr:from>
    <xdr:to>
      <xdr:col>22</xdr:col>
      <xdr:colOff>175161</xdr:colOff>
      <xdr:row>28</xdr:row>
      <xdr:rowOff>38593</xdr:rowOff>
    </xdr:to>
    <mc:AlternateContent xmlns:mc="http://schemas.openxmlformats.org/markup-compatibility/2006" xmlns:sle15="http://schemas.microsoft.com/office/drawing/2012/slicer">
      <mc:Choice Requires="sle15">
        <xdr:graphicFrame macro="">
          <xdr:nvGraphicFramePr>
            <xdr:cNvPr id="12" name="Year">
              <a:extLst>
                <a:ext uri="{FF2B5EF4-FFF2-40B4-BE49-F238E27FC236}">
                  <a16:creationId xmlns:a16="http://schemas.microsoft.com/office/drawing/2014/main" id="{1F637E38-2BF7-4360-B9DA-E21C01CA50C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564590" y="2506683"/>
              <a:ext cx="1828800" cy="280059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217911</xdr:colOff>
      <xdr:row>28</xdr:row>
      <xdr:rowOff>171417</xdr:rowOff>
    </xdr:from>
    <xdr:to>
      <xdr:col>22</xdr:col>
      <xdr:colOff>217911</xdr:colOff>
      <xdr:row>33</xdr:row>
      <xdr:rowOff>158338</xdr:rowOff>
    </xdr:to>
    <mc:AlternateContent xmlns:mc="http://schemas.openxmlformats.org/markup-compatibility/2006" xmlns:sle15="http://schemas.microsoft.com/office/drawing/2012/slicer">
      <mc:Choice Requires="sle15">
        <xdr:graphicFrame macro="">
          <xdr:nvGraphicFramePr>
            <xdr:cNvPr id="14" name="Covid Period 1">
              <a:extLst>
                <a:ext uri="{FF2B5EF4-FFF2-40B4-BE49-F238E27FC236}">
                  <a16:creationId xmlns:a16="http://schemas.microsoft.com/office/drawing/2014/main" id="{D83AA79F-F714-4CD3-8FCC-4D5E0690A4DA}"/>
                </a:ext>
              </a:extLst>
            </xdr:cNvPr>
            <xdr:cNvGraphicFramePr/>
          </xdr:nvGraphicFramePr>
          <xdr:xfrm>
            <a:off x="0" y="0"/>
            <a:ext cx="0" cy="0"/>
          </xdr:xfrm>
          <a:graphic>
            <a:graphicData uri="http://schemas.microsoft.com/office/drawing/2010/slicer">
              <sle:slicer xmlns:sle="http://schemas.microsoft.com/office/drawing/2010/slicer" name="Covid Period 1"/>
            </a:graphicData>
          </a:graphic>
        </xdr:graphicFrame>
      </mc:Choice>
      <mc:Fallback xmlns="">
        <xdr:sp macro="" textlink="">
          <xdr:nvSpPr>
            <xdr:cNvPr id="0" name=""/>
            <xdr:cNvSpPr>
              <a:spLocks noTextEdit="1"/>
            </xdr:cNvSpPr>
          </xdr:nvSpPr>
          <xdr:spPr>
            <a:xfrm>
              <a:off x="13607340" y="5440103"/>
              <a:ext cx="1828800" cy="91220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83127</xdr:colOff>
      <xdr:row>46</xdr:row>
      <xdr:rowOff>0</xdr:rowOff>
    </xdr:from>
    <xdr:to>
      <xdr:col>18</xdr:col>
      <xdr:colOff>27709</xdr:colOff>
      <xdr:row>60</xdr:row>
      <xdr:rowOff>96983</xdr:rowOff>
    </xdr:to>
    <xdr:graphicFrame macro="">
      <xdr:nvGraphicFramePr>
        <xdr:cNvPr id="8" name="Chart 7">
          <a:extLst>
            <a:ext uri="{FF2B5EF4-FFF2-40B4-BE49-F238E27FC236}">
              <a16:creationId xmlns:a16="http://schemas.microsoft.com/office/drawing/2014/main" id="{4F212AD2-AA9D-4D64-8105-2C89D3942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0.76862</cdr:x>
      <cdr:y>0.64948</cdr:y>
    </cdr:from>
    <cdr:to>
      <cdr:x>0.92986</cdr:x>
      <cdr:y>0.70309</cdr:y>
    </cdr:to>
    <cdr:sp macro="" textlink="">
      <cdr:nvSpPr>
        <cdr:cNvPr id="2" name="TextBox 4">
          <a:extLst xmlns:a="http://schemas.openxmlformats.org/drawingml/2006/main">
            <a:ext uri="{FF2B5EF4-FFF2-40B4-BE49-F238E27FC236}">
              <a16:creationId xmlns:a16="http://schemas.microsoft.com/office/drawing/2014/main" id="{28F4B6BD-DE7B-533B-ECD0-8968211CFA2A}"/>
            </a:ext>
          </a:extLst>
        </cdr:cNvPr>
        <cdr:cNvSpPr txBox="1"/>
      </cdr:nvSpPr>
      <cdr:spPr>
        <a:xfrm xmlns:a="http://schemas.openxmlformats.org/drawingml/2006/main">
          <a:off x="3509618" y="1846469"/>
          <a:ext cx="736276" cy="152400"/>
        </a:xfrm>
        <a:prstGeom xmlns:a="http://schemas.openxmlformats.org/drawingml/2006/main" prst="rect">
          <a:avLst/>
        </a:prstGeom>
        <a:solidFill xmlns:a="http://schemas.openxmlformats.org/drawingml/2006/main">
          <a:schemeClr val="tx2">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500" b="1">
              <a:solidFill>
                <a:schemeClr val="dk1"/>
              </a:solidFill>
              <a:latin typeface="+mn-lt"/>
              <a:ea typeface="+mn-ea"/>
              <a:cs typeface="+mn-cs"/>
            </a:rPr>
            <a:t>Russia-Ukraine</a:t>
          </a:r>
          <a:r>
            <a:rPr lang="en-IN" sz="500" b="1"/>
            <a:t> War</a:t>
          </a:r>
        </a:p>
      </cdr:txBody>
    </cdr:sp>
  </cdr:relSizeAnchor>
  <cdr:relSizeAnchor xmlns:cdr="http://schemas.openxmlformats.org/drawingml/2006/chartDrawing">
    <cdr:from>
      <cdr:x>0.62636</cdr:x>
      <cdr:y>0.80222</cdr:y>
    </cdr:from>
    <cdr:to>
      <cdr:x>0.75884</cdr:x>
      <cdr:y>0.85657</cdr:y>
    </cdr:to>
    <cdr:sp macro="" textlink="">
      <cdr:nvSpPr>
        <cdr:cNvPr id="3" name="TextBox 4">
          <a:extLst xmlns:a="http://schemas.openxmlformats.org/drawingml/2006/main">
            <a:ext uri="{FF2B5EF4-FFF2-40B4-BE49-F238E27FC236}">
              <a16:creationId xmlns:a16="http://schemas.microsoft.com/office/drawing/2014/main" id="{28F4B6BD-DE7B-533B-ECD0-8968211CFA2A}"/>
            </a:ext>
          </a:extLst>
        </cdr:cNvPr>
        <cdr:cNvSpPr txBox="1"/>
      </cdr:nvSpPr>
      <cdr:spPr>
        <a:xfrm xmlns:a="http://schemas.openxmlformats.org/drawingml/2006/main">
          <a:off x="3466353" y="2157505"/>
          <a:ext cx="733158" cy="146164"/>
        </a:xfrm>
        <a:prstGeom xmlns:a="http://schemas.openxmlformats.org/drawingml/2006/main" prst="rect">
          <a:avLst/>
        </a:prstGeom>
        <a:solidFill xmlns:a="http://schemas.openxmlformats.org/drawingml/2006/main">
          <a:schemeClr val="tx2">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500" b="1"/>
            <a:t>COVID-19 Pandemic</a:t>
          </a:r>
        </a:p>
      </cdr:txBody>
    </cdr:sp>
  </cdr:relSizeAnchor>
</c:userShapes>
</file>

<file path=xl/drawings/drawing3.xml><?xml version="1.0" encoding="utf-8"?>
<xdr:wsDr xmlns:xdr="http://schemas.openxmlformats.org/drawingml/2006/spreadsheetDrawing" xmlns:a="http://schemas.openxmlformats.org/drawingml/2006/main">
  <xdr:twoCellAnchor>
    <xdr:from>
      <xdr:col>16</xdr:col>
      <xdr:colOff>374981</xdr:colOff>
      <xdr:row>12</xdr:row>
      <xdr:rowOff>110778</xdr:rowOff>
    </xdr:from>
    <xdr:to>
      <xdr:col>17</xdr:col>
      <xdr:colOff>580721</xdr:colOff>
      <xdr:row>16</xdr:row>
      <xdr:rowOff>19338</xdr:rowOff>
    </xdr:to>
    <xdr:sp macro="" textlink="">
      <xdr:nvSpPr>
        <xdr:cNvPr id="3" name="TextBox 2">
          <a:extLst>
            <a:ext uri="{FF2B5EF4-FFF2-40B4-BE49-F238E27FC236}">
              <a16:creationId xmlns:a16="http://schemas.microsoft.com/office/drawing/2014/main" id="{6CB6AD11-5BE7-B615-0451-25CE8CF68CED}"/>
            </a:ext>
          </a:extLst>
        </xdr:cNvPr>
        <xdr:cNvSpPr txBox="1"/>
      </xdr:nvSpPr>
      <xdr:spPr>
        <a:xfrm>
          <a:off x="14842095" y="2342349"/>
          <a:ext cx="815340" cy="463732"/>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Personal &amp; Lifestyle</a:t>
          </a:r>
        </a:p>
      </xdr:txBody>
    </xdr:sp>
    <xdr:clientData/>
  </xdr:twoCellAnchor>
  <xdr:twoCellAnchor>
    <xdr:from>
      <xdr:col>11</xdr:col>
      <xdr:colOff>595255</xdr:colOff>
      <xdr:row>0</xdr:row>
      <xdr:rowOff>44821</xdr:rowOff>
    </xdr:from>
    <xdr:to>
      <xdr:col>20</xdr:col>
      <xdr:colOff>358589</xdr:colOff>
      <xdr:row>19</xdr:row>
      <xdr:rowOff>170329</xdr:rowOff>
    </xdr:to>
    <xdr:graphicFrame macro="">
      <xdr:nvGraphicFramePr>
        <xdr:cNvPr id="5" name="Chart 4">
          <a:extLst>
            <a:ext uri="{FF2B5EF4-FFF2-40B4-BE49-F238E27FC236}">
              <a16:creationId xmlns:a16="http://schemas.microsoft.com/office/drawing/2014/main" id="{154B632B-843D-8694-B0AD-E04A2186A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551329</xdr:colOff>
      <xdr:row>0</xdr:row>
      <xdr:rowOff>174811</xdr:rowOff>
    </xdr:from>
    <xdr:to>
      <xdr:col>16</xdr:col>
      <xdr:colOff>258418</xdr:colOff>
      <xdr:row>16</xdr:row>
      <xdr:rowOff>49305</xdr:rowOff>
    </xdr:to>
    <xdr:graphicFrame macro="">
      <xdr:nvGraphicFramePr>
        <xdr:cNvPr id="4" name="Chart 3">
          <a:extLst>
            <a:ext uri="{FF2B5EF4-FFF2-40B4-BE49-F238E27FC236}">
              <a16:creationId xmlns:a16="http://schemas.microsoft.com/office/drawing/2014/main" id="{EB08EC95-A540-CE37-63A8-63CCC1AC5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138368</xdr:colOff>
      <xdr:row>13</xdr:row>
      <xdr:rowOff>132521</xdr:rowOff>
    </xdr:from>
    <xdr:to>
      <xdr:col>14</xdr:col>
      <xdr:colOff>19879</xdr:colOff>
      <xdr:row>14</xdr:row>
      <xdr:rowOff>99391</xdr:rowOff>
    </xdr:to>
    <xdr:sp macro="" textlink="">
      <xdr:nvSpPr>
        <xdr:cNvPr id="5" name="TextBox 4">
          <a:extLst>
            <a:ext uri="{FF2B5EF4-FFF2-40B4-BE49-F238E27FC236}">
              <a16:creationId xmlns:a16="http://schemas.microsoft.com/office/drawing/2014/main" id="{28F4B6BD-DE7B-533B-ECD0-8968211CFA2A}"/>
            </a:ext>
          </a:extLst>
        </xdr:cNvPr>
        <xdr:cNvSpPr txBox="1"/>
      </xdr:nvSpPr>
      <xdr:spPr>
        <a:xfrm>
          <a:off x="10793116" y="2544417"/>
          <a:ext cx="736276" cy="1524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b="1"/>
            <a:t>COVID-19 Pandemic</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0.76862</cdr:x>
      <cdr:y>0.64948</cdr:y>
    </cdr:from>
    <cdr:to>
      <cdr:x>0.92986</cdr:x>
      <cdr:y>0.70309</cdr:y>
    </cdr:to>
    <cdr:sp macro="" textlink="">
      <cdr:nvSpPr>
        <cdr:cNvPr id="2" name="TextBox 4">
          <a:extLst xmlns:a="http://schemas.openxmlformats.org/drawingml/2006/main">
            <a:ext uri="{FF2B5EF4-FFF2-40B4-BE49-F238E27FC236}">
              <a16:creationId xmlns:a16="http://schemas.microsoft.com/office/drawing/2014/main" id="{28F4B6BD-DE7B-533B-ECD0-8968211CFA2A}"/>
            </a:ext>
          </a:extLst>
        </cdr:cNvPr>
        <cdr:cNvSpPr txBox="1"/>
      </cdr:nvSpPr>
      <cdr:spPr>
        <a:xfrm xmlns:a="http://schemas.openxmlformats.org/drawingml/2006/main">
          <a:off x="3509618" y="1846469"/>
          <a:ext cx="736276" cy="152400"/>
        </a:xfrm>
        <a:prstGeom xmlns:a="http://schemas.openxmlformats.org/drawingml/2006/main" prst="rect">
          <a:avLst/>
        </a:prstGeom>
        <a:solidFill xmlns:a="http://schemas.openxmlformats.org/drawingml/2006/main">
          <a:schemeClr val="tx2">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500" b="1">
              <a:solidFill>
                <a:schemeClr val="dk1"/>
              </a:solidFill>
              <a:latin typeface="+mn-lt"/>
              <a:ea typeface="+mn-ea"/>
              <a:cs typeface="+mn-cs"/>
            </a:rPr>
            <a:t>Russia-Ukraine</a:t>
          </a:r>
          <a:r>
            <a:rPr lang="en-IN" sz="500" b="1"/>
            <a:t> War</a:t>
          </a:r>
        </a:p>
      </cdr:txBody>
    </cdr:sp>
  </cdr:relSizeAnchor>
</c:userShapes>
</file>

<file path=xl/drawings/drawing6.xml><?xml version="1.0" encoding="utf-8"?>
<xdr:wsDr xmlns:xdr="http://schemas.openxmlformats.org/drawingml/2006/spreadsheetDrawing" xmlns:a="http://schemas.openxmlformats.org/drawingml/2006/main">
  <xdr:twoCellAnchor>
    <xdr:from>
      <xdr:col>4</xdr:col>
      <xdr:colOff>816428</xdr:colOff>
      <xdr:row>23</xdr:row>
      <xdr:rowOff>168728</xdr:rowOff>
    </xdr:from>
    <xdr:to>
      <xdr:col>11</xdr:col>
      <xdr:colOff>478968</xdr:colOff>
      <xdr:row>38</xdr:row>
      <xdr:rowOff>136071</xdr:rowOff>
    </xdr:to>
    <xdr:graphicFrame macro="">
      <xdr:nvGraphicFramePr>
        <xdr:cNvPr id="8" name="Chart 7">
          <a:extLst>
            <a:ext uri="{FF2B5EF4-FFF2-40B4-BE49-F238E27FC236}">
              <a16:creationId xmlns:a16="http://schemas.microsoft.com/office/drawing/2014/main" id="{137D909B-C0CA-1185-B34F-9C4DD9CF9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685801</xdr:colOff>
      <xdr:row>24</xdr:row>
      <xdr:rowOff>38100</xdr:rowOff>
    </xdr:from>
    <xdr:to>
      <xdr:col>17</xdr:col>
      <xdr:colOff>76201</xdr:colOff>
      <xdr:row>39</xdr:row>
      <xdr:rowOff>5442</xdr:rowOff>
    </xdr:to>
    <xdr:graphicFrame macro="">
      <xdr:nvGraphicFramePr>
        <xdr:cNvPr id="11" name="Chart 10">
          <a:extLst>
            <a:ext uri="{FF2B5EF4-FFF2-40B4-BE49-F238E27FC236}">
              <a16:creationId xmlns:a16="http://schemas.microsoft.com/office/drawing/2014/main" id="{8B7C85F9-4149-DEE1-9792-4EAB1E76F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544284</xdr:colOff>
      <xdr:row>2</xdr:row>
      <xdr:rowOff>21772</xdr:rowOff>
    </xdr:from>
    <xdr:to>
      <xdr:col>10</xdr:col>
      <xdr:colOff>87085</xdr:colOff>
      <xdr:row>23</xdr:row>
      <xdr:rowOff>43543</xdr:rowOff>
    </xdr:to>
    <xdr:graphicFrame macro="">
      <xdr:nvGraphicFramePr>
        <xdr:cNvPr id="2" name="Chart 1">
          <a:extLst>
            <a:ext uri="{FF2B5EF4-FFF2-40B4-BE49-F238E27FC236}">
              <a16:creationId xmlns:a16="http://schemas.microsoft.com/office/drawing/2014/main" id="{FBD3ED06-A2F7-7EDE-424D-900DBFF90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515470</xdr:colOff>
      <xdr:row>22</xdr:row>
      <xdr:rowOff>40341</xdr:rowOff>
    </xdr:from>
    <xdr:to>
      <xdr:col>11</xdr:col>
      <xdr:colOff>542365</xdr:colOff>
      <xdr:row>37</xdr:row>
      <xdr:rowOff>94130</xdr:rowOff>
    </xdr:to>
    <xdr:graphicFrame macro="">
      <xdr:nvGraphicFramePr>
        <xdr:cNvPr id="2" name="Chart 1">
          <a:extLst>
            <a:ext uri="{FF2B5EF4-FFF2-40B4-BE49-F238E27FC236}">
              <a16:creationId xmlns:a16="http://schemas.microsoft.com/office/drawing/2014/main" id="{1C86AFAB-F434-9478-2DBD-8FE4A34BD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17930</xdr:colOff>
      <xdr:row>48</xdr:row>
      <xdr:rowOff>45639</xdr:rowOff>
    </xdr:from>
    <xdr:to>
      <xdr:col>3</xdr:col>
      <xdr:colOff>313766</xdr:colOff>
      <xdr:row>57</xdr:row>
      <xdr:rowOff>172774</xdr:rowOff>
    </xdr:to>
    <xdr:graphicFrame macro="">
      <xdr:nvGraphicFramePr>
        <xdr:cNvPr id="4" name="Chart 3">
          <a:extLst>
            <a:ext uri="{FF2B5EF4-FFF2-40B4-BE49-F238E27FC236}">
              <a16:creationId xmlns:a16="http://schemas.microsoft.com/office/drawing/2014/main" id="{DEBB6A5B-599F-DCBD-7330-5D057FD53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235119</xdr:colOff>
      <xdr:row>48</xdr:row>
      <xdr:rowOff>41564</xdr:rowOff>
    </xdr:from>
    <xdr:to>
      <xdr:col>8</xdr:col>
      <xdr:colOff>449866</xdr:colOff>
      <xdr:row>58</xdr:row>
      <xdr:rowOff>27709</xdr:rowOff>
    </xdr:to>
    <xdr:graphicFrame macro="">
      <xdr:nvGraphicFramePr>
        <xdr:cNvPr id="5" name="Chart 4">
          <a:extLst>
            <a:ext uri="{FF2B5EF4-FFF2-40B4-BE49-F238E27FC236}">
              <a16:creationId xmlns:a16="http://schemas.microsoft.com/office/drawing/2014/main" id="{9C263223-D3A1-BFB7-0060-891E33601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1062319</xdr:colOff>
      <xdr:row>48</xdr:row>
      <xdr:rowOff>62753</xdr:rowOff>
    </xdr:from>
    <xdr:to>
      <xdr:col>11</xdr:col>
      <xdr:colOff>116542</xdr:colOff>
      <xdr:row>58</xdr:row>
      <xdr:rowOff>53787</xdr:rowOff>
    </xdr:to>
    <xdr:graphicFrame macro="">
      <xdr:nvGraphicFramePr>
        <xdr:cNvPr id="6" name="Chart 5">
          <a:extLst>
            <a:ext uri="{FF2B5EF4-FFF2-40B4-BE49-F238E27FC236}">
              <a16:creationId xmlns:a16="http://schemas.microsoft.com/office/drawing/2014/main" id="{4EE740AB-3449-F314-0004-F75CC9E39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569259</xdr:colOff>
      <xdr:row>48</xdr:row>
      <xdr:rowOff>44823</xdr:rowOff>
    </xdr:from>
    <xdr:to>
      <xdr:col>15</xdr:col>
      <xdr:colOff>564777</xdr:colOff>
      <xdr:row>58</xdr:row>
      <xdr:rowOff>80682</xdr:rowOff>
    </xdr:to>
    <xdr:graphicFrame macro="">
      <xdr:nvGraphicFramePr>
        <xdr:cNvPr id="7" name="Chart 6">
          <a:extLst>
            <a:ext uri="{FF2B5EF4-FFF2-40B4-BE49-F238E27FC236}">
              <a16:creationId xmlns:a16="http://schemas.microsoft.com/office/drawing/2014/main" id="{0B8419B9-B95A-E938-F3B8-1D6BF74EF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600636</xdr:colOff>
      <xdr:row>48</xdr:row>
      <xdr:rowOff>35858</xdr:rowOff>
    </xdr:from>
    <xdr:to>
      <xdr:col>22</xdr:col>
      <xdr:colOff>233083</xdr:colOff>
      <xdr:row>58</xdr:row>
      <xdr:rowOff>53788</xdr:rowOff>
    </xdr:to>
    <xdr:graphicFrame macro="">
      <xdr:nvGraphicFramePr>
        <xdr:cNvPr id="9" name="Chart 8">
          <a:extLst>
            <a:ext uri="{FF2B5EF4-FFF2-40B4-BE49-F238E27FC236}">
              <a16:creationId xmlns:a16="http://schemas.microsoft.com/office/drawing/2014/main" id="{7633BF96-A6DF-43ED-A041-0E61CD6E8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2.661298032406" createdVersion="8" refreshedVersion="8" minRefreshableVersion="3" recordCount="372" xr:uid="{D689099A-B6DA-45E0-806D-917422AAE293}">
  <cacheSource type="worksheet">
    <worksheetSource name="All_India_Index_Upto_April23__13"/>
  </cacheSource>
  <cacheFields count="33">
    <cacheField name="Sector" numFmtId="0">
      <sharedItems/>
    </cacheField>
    <cacheField name="Year" numFmtId="0">
      <sharedItems containsSemiMixedTypes="0" containsString="0" containsNumber="1" containsInteger="1" minValue="2013" maxValue="2023" count="11">
        <n v="2013"/>
        <n v="2023"/>
        <n v="2022"/>
        <n v="2014"/>
        <n v="2021"/>
        <n v="2015"/>
        <n v="2020"/>
        <n v="2016"/>
        <n v="2019"/>
        <n v="2017"/>
        <n v="2018"/>
      </sharedItems>
    </cacheField>
    <cacheField name="Month" numFmtId="0">
      <sharedItems/>
    </cacheField>
    <cacheField name="Date" numFmtId="166">
      <sharedItems containsSemiMixedTypes="0" containsNonDate="0" containsDate="1" containsString="0" minDate="2013-01-01T00:00:00" maxDate="2023-05-02T00:00:00"/>
    </cacheField>
    <cacheField name="Covid Period" numFmtId="164">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2">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Month Number"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3.586098032407" createdVersion="8" refreshedVersion="8" minRefreshableVersion="3" recordCount="6" xr:uid="{27A6B8C4-38BA-43E1-997F-2BDBC63D364D}">
  <cacheSource type="worksheet">
    <worksheetSource ref="G2:H8" sheet="Q1_Contribution"/>
  </cacheSource>
  <cacheFields count="2">
    <cacheField name="Bucket" numFmtId="0">
      <sharedItems count="6">
        <s v="Food"/>
        <s v="Housing &amp; Utilities"/>
        <s v="Healthcare"/>
        <s v="Transport &amp; Mobility"/>
        <s v="Education &amp; Recreation"/>
        <s v="Personal &amp; Lifestyle"/>
      </sharedItems>
    </cacheField>
    <cacheField name="Value" numFmtId="0">
      <sharedItems containsSemiMixedTypes="0" containsString="0" containsNumber="1" minValue="164.8" maxValue="221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s v="January"/>
    <d v="2013-01-01T00:00:00"/>
    <s v="Pre-COVID"/>
    <n v="107.5"/>
    <n v="106.3"/>
    <n v="108.1"/>
    <n v="104.9"/>
    <n v="106.1"/>
    <n v="103.9"/>
    <n v="101.9"/>
    <n v="106.1"/>
    <n v="106.8"/>
    <n v="103.1"/>
    <n v="104.8"/>
    <n v="106.7"/>
    <n v="105.5"/>
    <n v="105.1"/>
    <n v="106.5"/>
    <n v="105.8"/>
    <n v="106.4"/>
    <n v="141"/>
    <n v="105.5"/>
    <n v="104.8"/>
    <n v="104"/>
    <n v="103.3"/>
    <n v="103.4"/>
    <n v="103.8"/>
    <n v="104.7"/>
    <n v="104"/>
    <n v="105.1"/>
    <n v="1"/>
  </r>
  <r>
    <s v="Urban"/>
    <x v="0"/>
    <s v="January"/>
    <d v="2013-01-01T00:00:00"/>
    <s v="Pre-COVID"/>
    <n v="110.5"/>
    <n v="109.1"/>
    <n v="113"/>
    <n v="103.6"/>
    <n v="103.4"/>
    <n v="102.3"/>
    <n v="102.9"/>
    <n v="105.8"/>
    <n v="105.1"/>
    <n v="101.8"/>
    <n v="105.1"/>
    <n v="107.9"/>
    <n v="105.9"/>
    <n v="105.2"/>
    <n v="105.9"/>
    <n v="105"/>
    <n v="105.8"/>
    <n v="100.3"/>
    <n v="105.4"/>
    <n v="104.8"/>
    <n v="104.1"/>
    <n v="103.2"/>
    <n v="102.9"/>
    <n v="103.5"/>
    <n v="104.3"/>
    <n v="103.7"/>
    <n v="104"/>
    <n v="1"/>
  </r>
  <r>
    <s v="Rural+Urban"/>
    <x v="1"/>
    <s v="May"/>
    <d v="2023-05-01T00:00:00"/>
    <s v="Post-COVID"/>
    <n v="173.7"/>
    <n v="214.3"/>
    <n v="173.2"/>
    <n v="179.5"/>
    <n v="170"/>
    <n v="172.2"/>
    <n v="161"/>
    <n v="175.6"/>
    <n v="122.7"/>
    <n v="218"/>
    <n v="173.4"/>
    <n v="194.2"/>
    <n v="179.1"/>
    <n v="201"/>
    <n v="187.3"/>
    <n v="179.7"/>
    <n v="186.2"/>
    <n v="175.6"/>
    <n v="182.8"/>
    <n v="175.2"/>
    <n v="185.7"/>
    <n v="164.8"/>
    <n v="171.2"/>
    <n v="177.1"/>
    <n v="185.2"/>
    <n v="175.7"/>
    <n v="179.1"/>
    <n v="5"/>
  </r>
  <r>
    <s v="Rural"/>
    <x v="0"/>
    <s v="February"/>
    <d v="2013-02-01T00:00:00"/>
    <s v="Pre-COVID"/>
    <n v="108.4"/>
    <n v="108.7"/>
    <n v="110.2"/>
    <n v="105.4"/>
    <n v="106.7"/>
    <n v="104"/>
    <n v="102.4"/>
    <n v="105.9"/>
    <n v="105.7"/>
    <n v="103.1"/>
    <n v="105.1"/>
    <n v="107.7"/>
    <n v="106.3"/>
    <n v="105.6"/>
    <n v="107.1"/>
    <n v="106.3"/>
    <n v="107"/>
    <n v="141"/>
    <n v="106.2"/>
    <n v="105.2"/>
    <n v="104.4"/>
    <n v="103.9"/>
    <n v="104"/>
    <n v="104.1"/>
    <n v="104.6"/>
    <n v="104.4"/>
    <n v="105.8"/>
    <n v="2"/>
  </r>
  <r>
    <s v="Urban"/>
    <x v="0"/>
    <s v="February"/>
    <d v="2013-02-01T00:00:00"/>
    <s v="Pre-COVID"/>
    <n v="112.9"/>
    <n v="112.9"/>
    <n v="116.9"/>
    <n v="104"/>
    <n v="103.5"/>
    <n v="103.1"/>
    <n v="104.9"/>
    <n v="104.1"/>
    <n v="103.8"/>
    <n v="102.3"/>
    <n v="106"/>
    <n v="109"/>
    <n v="107.2"/>
    <n v="106"/>
    <n v="106.6"/>
    <n v="105.5"/>
    <n v="106.4"/>
    <n v="100.4"/>
    <n v="105.7"/>
    <n v="105.2"/>
    <n v="104.7"/>
    <n v="104.4"/>
    <n v="103.3"/>
    <n v="103.7"/>
    <n v="104.3"/>
    <n v="104.3"/>
    <n v="104.7"/>
    <n v="2"/>
  </r>
  <r>
    <s v="Rural+Urban"/>
    <x v="1"/>
    <s v="April"/>
    <d v="2023-04-01T00:00:00"/>
    <s v="Post-COVID"/>
    <n v="173.8"/>
    <n v="209.3"/>
    <n v="169.6"/>
    <n v="178.4"/>
    <n v="174.9"/>
    <n v="176.3"/>
    <n v="155.4"/>
    <n v="173.4"/>
    <n v="121.3"/>
    <n v="212.9"/>
    <n v="172.9"/>
    <n v="193.5"/>
    <n v="177.9"/>
    <n v="200.6"/>
    <n v="186.9"/>
    <n v="179.2"/>
    <n v="185.7"/>
    <n v="175.2"/>
    <n v="181.7"/>
    <n v="174.6"/>
    <n v="185"/>
    <n v="164.5"/>
    <n v="170.7"/>
    <n v="176.4"/>
    <n v="184"/>
    <n v="175"/>
    <n v="178.1"/>
    <n v="4"/>
  </r>
  <r>
    <s v="Rural"/>
    <x v="0"/>
    <s v="March"/>
    <d v="2013-03-01T00:00:00"/>
    <s v="Pre-COVID"/>
    <n v="110.2"/>
    <n v="108.8"/>
    <n v="109.9"/>
    <n v="105.6"/>
    <n v="106.2"/>
    <n v="105.7"/>
    <n v="101.4"/>
    <n v="105.7"/>
    <n v="105"/>
    <n v="103.3"/>
    <n v="105.6"/>
    <n v="108.2"/>
    <n v="106.6"/>
    <n v="106.5"/>
    <n v="107.6"/>
    <n v="106.8"/>
    <n v="107.5"/>
    <n v="141"/>
    <n v="106.1"/>
    <n v="105.6"/>
    <n v="104.7"/>
    <n v="104.6"/>
    <n v="104"/>
    <n v="104.3"/>
    <n v="104.3"/>
    <n v="104.6"/>
    <n v="106"/>
    <n v="3"/>
  </r>
  <r>
    <s v="Urban"/>
    <x v="0"/>
    <s v="March"/>
    <d v="2013-03-01T00:00:00"/>
    <s v="Pre-COVID"/>
    <n v="113.9"/>
    <n v="111.4"/>
    <n v="113.2"/>
    <n v="104.3"/>
    <n v="102.7"/>
    <n v="104.9"/>
    <n v="103.8"/>
    <n v="103.5"/>
    <n v="102.6"/>
    <n v="102.4"/>
    <n v="107"/>
    <n v="109.8"/>
    <n v="107.3"/>
    <n v="106.8"/>
    <n v="107.2"/>
    <n v="106"/>
    <n v="107"/>
    <n v="100.4"/>
    <n v="106"/>
    <n v="105.7"/>
    <n v="105.2"/>
    <n v="105.5"/>
    <n v="103.5"/>
    <n v="103.8"/>
    <n v="104.2"/>
    <n v="104.9"/>
    <n v="105"/>
    <n v="3"/>
  </r>
  <r>
    <s v="Rural+Urban"/>
    <x v="1"/>
    <s v="March"/>
    <d v="2023-03-01T00:00:00"/>
    <s v="Post-COVID"/>
    <n v="174.4"/>
    <n v="207.7"/>
    <n v="175.2"/>
    <n v="177.3"/>
    <n v="179.2"/>
    <n v="169.5"/>
    <n v="152.80000000000001"/>
    <n v="171.1"/>
    <n v="120"/>
    <n v="209.7"/>
    <n v="172.3"/>
    <n v="193"/>
    <n v="177"/>
    <n v="199.5"/>
    <n v="186.1"/>
    <n v="178.7"/>
    <n v="185.1"/>
    <n v="173.5"/>
    <n v="181.9"/>
    <n v="174.2"/>
    <n v="184.4"/>
    <n v="164.2"/>
    <n v="170.3"/>
    <n v="175"/>
    <n v="181"/>
    <n v="174.1"/>
    <n v="177.2"/>
    <n v="3"/>
  </r>
  <r>
    <s v="Rural"/>
    <x v="0"/>
    <s v="April"/>
    <d v="2013-04-01T00:00:00"/>
    <s v="Pre-COVID"/>
    <n v="110.2"/>
    <n v="109.5"/>
    <n v="106.9"/>
    <n v="106.3"/>
    <n v="105.7"/>
    <n v="108.3"/>
    <n v="103.4"/>
    <n v="105.7"/>
    <n v="104.2"/>
    <n v="103.2"/>
    <n v="106.5"/>
    <n v="108.8"/>
    <n v="107.1"/>
    <n v="107.1"/>
    <n v="108.1"/>
    <n v="107.4"/>
    <n v="108"/>
    <n v="141"/>
    <n v="106.5"/>
    <n v="106.1"/>
    <n v="105.1"/>
    <n v="104.4"/>
    <n v="104.5"/>
    <n v="104.8"/>
    <n v="102.7"/>
    <n v="104.6"/>
    <n v="106.4"/>
    <n v="4"/>
  </r>
  <r>
    <s v="Urban"/>
    <x v="0"/>
    <s v="April"/>
    <d v="2013-04-01T00:00:00"/>
    <s v="Pre-COVID"/>
    <n v="114.6"/>
    <n v="113.4"/>
    <n v="106"/>
    <n v="104.7"/>
    <n v="102.1"/>
    <n v="109.5"/>
    <n v="109.7"/>
    <n v="104.6"/>
    <n v="102"/>
    <n v="103.5"/>
    <n v="108.2"/>
    <n v="110.6"/>
    <n v="108.8"/>
    <n v="108.5"/>
    <n v="107.9"/>
    <n v="106.4"/>
    <n v="107.7"/>
    <n v="100.5"/>
    <n v="106.4"/>
    <n v="106.5"/>
    <n v="105.7"/>
    <n v="105"/>
    <n v="104"/>
    <n v="105.2"/>
    <n v="103.2"/>
    <n v="105.1"/>
    <n v="105.7"/>
    <n v="4"/>
  </r>
  <r>
    <s v="Rural+Urban"/>
    <x v="1"/>
    <s v="February"/>
    <d v="2023-02-01T00:00:00"/>
    <s v="Post-COVID"/>
    <n v="174.4"/>
    <n v="207.7"/>
    <n v="175.2"/>
    <n v="177.3"/>
    <n v="179.3"/>
    <n v="169.5"/>
    <n v="152.69999999999999"/>
    <n v="171"/>
    <n v="120"/>
    <n v="209.7"/>
    <n v="172.3"/>
    <n v="193"/>
    <n v="177"/>
    <n v="199.5"/>
    <n v="186.2"/>
    <n v="178.7"/>
    <n v="185.1"/>
    <n v="173.5"/>
    <n v="182.1"/>
    <n v="174.2"/>
    <n v="184.4"/>
    <n v="164.2"/>
    <n v="170.3"/>
    <n v="175"/>
    <n v="181"/>
    <n v="174.1"/>
    <n v="177.2"/>
    <n v="2"/>
  </r>
  <r>
    <s v="Rural"/>
    <x v="0"/>
    <s v="May"/>
    <d v="2013-05-01T00:00:00"/>
    <s v="Pre-COVID"/>
    <n v="110.9"/>
    <n v="109.8"/>
    <n v="105.9"/>
    <n v="107.5"/>
    <n v="105.3"/>
    <n v="108.1"/>
    <n v="107.3"/>
    <n v="106.1"/>
    <n v="103.7"/>
    <n v="104"/>
    <n v="107.4"/>
    <n v="109.9"/>
    <n v="108.1"/>
    <n v="108.1"/>
    <n v="108.8"/>
    <n v="107.9"/>
    <n v="108.6"/>
    <n v="141"/>
    <n v="107.5"/>
    <n v="106.8"/>
    <n v="105.7"/>
    <n v="104.1"/>
    <n v="105"/>
    <n v="105.5"/>
    <n v="102.1"/>
    <n v="104.8"/>
    <n v="107.2"/>
    <n v="5"/>
  </r>
  <r>
    <s v="Urban"/>
    <x v="0"/>
    <s v="May"/>
    <d v="2013-05-01T00:00:00"/>
    <s v="Pre-COVID"/>
    <n v="115.4"/>
    <n v="114.2"/>
    <n v="102.7"/>
    <n v="105.5"/>
    <n v="101.5"/>
    <n v="110.6"/>
    <n v="123.7"/>
    <n v="105.2"/>
    <n v="101.9"/>
    <n v="105"/>
    <n v="109.1"/>
    <n v="111.3"/>
    <n v="111.1"/>
    <n v="109.8"/>
    <n v="108.5"/>
    <n v="106.7"/>
    <n v="108.3"/>
    <n v="100.5"/>
    <n v="107.2"/>
    <n v="107.1"/>
    <n v="106.2"/>
    <n v="103.9"/>
    <n v="104.6"/>
    <n v="105.7"/>
    <n v="102.6"/>
    <n v="104.9"/>
    <n v="106.6"/>
    <n v="5"/>
  </r>
  <r>
    <s v="Rural+Urban"/>
    <x v="1"/>
    <s v="January"/>
    <d v="2023-01-01T00:00:00"/>
    <s v="Post-COVID"/>
    <n v="173.8"/>
    <n v="210.7"/>
    <n v="194.5"/>
    <n v="174.6"/>
    <n v="187.2"/>
    <n v="158.30000000000001"/>
    <n v="153.9"/>
    <n v="170.9"/>
    <n v="121.1"/>
    <n v="208.4"/>
    <n v="171.4"/>
    <n v="191.2"/>
    <n v="176.7"/>
    <n v="198.2"/>
    <n v="184.9"/>
    <n v="177.6"/>
    <n v="183.8"/>
    <n v="172.1"/>
    <n v="182"/>
    <n v="172.9"/>
    <n v="182.3"/>
    <n v="163.6"/>
    <n v="169.5"/>
    <n v="174.3"/>
    <n v="178.6"/>
    <n v="172.8"/>
    <n v="176.5"/>
    <n v="1"/>
  </r>
  <r>
    <s v="Rural"/>
    <x v="0"/>
    <s v="June"/>
    <d v="2013-06-01T00:00:00"/>
    <s v="Pre-COVID"/>
    <n v="112.3"/>
    <n v="112.1"/>
    <n v="108.1"/>
    <n v="108.3"/>
    <n v="105.9"/>
    <n v="109.2"/>
    <n v="118"/>
    <n v="106.8"/>
    <n v="104.1"/>
    <n v="105.4"/>
    <n v="108.2"/>
    <n v="111"/>
    <n v="110.6"/>
    <n v="109"/>
    <n v="109.7"/>
    <n v="108.8"/>
    <n v="109.5"/>
    <n v="141"/>
    <n v="108.5"/>
    <n v="107.5"/>
    <n v="106.3"/>
    <n v="105"/>
    <n v="105.6"/>
    <n v="106.5"/>
    <n v="102.5"/>
    <n v="105.5"/>
    <n v="108.9"/>
    <n v="6"/>
  </r>
  <r>
    <s v="Urban"/>
    <x v="0"/>
    <s v="June"/>
    <d v="2013-06-01T00:00:00"/>
    <s v="Pre-COVID"/>
    <n v="117"/>
    <n v="120.1"/>
    <n v="112.5"/>
    <n v="107.3"/>
    <n v="101.3"/>
    <n v="112.4"/>
    <n v="143.6"/>
    <n v="105.4"/>
    <n v="101.4"/>
    <n v="106.4"/>
    <n v="110"/>
    <n v="112.2"/>
    <n v="115"/>
    <n v="110.9"/>
    <n v="109.2"/>
    <n v="107.2"/>
    <n v="108.9"/>
    <n v="106.6"/>
    <n v="108"/>
    <n v="107.7"/>
    <n v="106.5"/>
    <n v="105.2"/>
    <n v="105.2"/>
    <n v="108.1"/>
    <n v="103.3"/>
    <n v="106.1"/>
    <n v="109.7"/>
    <n v="6"/>
  </r>
  <r>
    <s v="Rural+Urban"/>
    <x v="2"/>
    <s v="December"/>
    <d v="2022-12-01T00:00:00"/>
    <s v="Post-COVID"/>
    <n v="169.2"/>
    <n v="209"/>
    <n v="190.2"/>
    <n v="173.6"/>
    <n v="188.5"/>
    <n v="158"/>
    <n v="159.9"/>
    <n v="170.8"/>
    <n v="121.8"/>
    <n v="205.2"/>
    <n v="171"/>
    <n v="190.3"/>
    <n v="175.9"/>
    <n v="197.3"/>
    <n v="184"/>
    <n v="177"/>
    <n v="183"/>
    <n v="170.7"/>
    <n v="182"/>
    <n v="172.1"/>
    <n v="181.1"/>
    <n v="163.4"/>
    <n v="168.9"/>
    <n v="174.1"/>
    <n v="175.8"/>
    <n v="172"/>
    <n v="175.7"/>
    <n v="12"/>
  </r>
  <r>
    <s v="Rural"/>
    <x v="0"/>
    <s v="July"/>
    <d v="2013-07-01T00:00:00"/>
    <s v="Pre-COVID"/>
    <n v="113.4"/>
    <n v="114.9"/>
    <n v="110.5"/>
    <n v="109.3"/>
    <n v="106.2"/>
    <n v="110.3"/>
    <n v="129.19999999999999"/>
    <n v="107.1"/>
    <n v="104.3"/>
    <n v="106.4"/>
    <n v="109.1"/>
    <n v="112.1"/>
    <n v="113.1"/>
    <n v="109.8"/>
    <n v="110.5"/>
    <n v="109.5"/>
    <n v="110.3"/>
    <n v="141"/>
    <n v="109.5"/>
    <n v="108.3"/>
    <n v="106.9"/>
    <n v="106.8"/>
    <n v="106.4"/>
    <n v="107.8"/>
    <n v="102.5"/>
    <n v="106.5"/>
    <n v="110.7"/>
    <n v="7"/>
  </r>
  <r>
    <s v="Urban"/>
    <x v="0"/>
    <s v="July"/>
    <d v="2013-07-01T00:00:00"/>
    <s v="Pre-COVID"/>
    <n v="117.8"/>
    <n v="119.2"/>
    <n v="114"/>
    <n v="108.3"/>
    <n v="101.1"/>
    <n v="113.2"/>
    <n v="160.9"/>
    <n v="105.1"/>
    <n v="101.3"/>
    <n v="107.5"/>
    <n v="110.4"/>
    <n v="113.1"/>
    <n v="117.5"/>
    <n v="111.7"/>
    <n v="109.8"/>
    <n v="107.8"/>
    <n v="109.5"/>
    <n v="107.7"/>
    <n v="108.6"/>
    <n v="108.1"/>
    <n v="107.1"/>
    <n v="107.3"/>
    <n v="105.9"/>
    <n v="110.1"/>
    <n v="103.2"/>
    <n v="107.3"/>
    <n v="111.4"/>
    <n v="7"/>
  </r>
  <r>
    <s v="Rural+Urban"/>
    <x v="2"/>
    <s v="November"/>
    <d v="2022-11-01T00:00:00"/>
    <s v="Post-COVID"/>
    <n v="167.4"/>
    <n v="209.4"/>
    <n v="181.4"/>
    <n v="172.3"/>
    <n v="188.9"/>
    <n v="160.69999999999999"/>
    <n v="183.1"/>
    <n v="170.5"/>
    <n v="122.1"/>
    <n v="202.8"/>
    <n v="170.4"/>
    <n v="189.5"/>
    <n v="178.3"/>
    <n v="196.9"/>
    <n v="183.1"/>
    <n v="176.2"/>
    <n v="182.1"/>
    <n v="171.8"/>
    <n v="181.3"/>
    <n v="171.4"/>
    <n v="179.8"/>
    <n v="163"/>
    <n v="168.5"/>
    <n v="173.7"/>
    <n v="173.6"/>
    <n v="171.1"/>
    <n v="176.5"/>
    <n v="11"/>
  </r>
  <r>
    <s v="Rural"/>
    <x v="0"/>
    <s v="August"/>
    <d v="2013-08-01T00:00:00"/>
    <s v="Pre-COVID"/>
    <n v="114.3"/>
    <n v="115.4"/>
    <n v="111.1"/>
    <n v="110"/>
    <n v="106.4"/>
    <n v="110.8"/>
    <n v="138.9"/>
    <n v="107.4"/>
    <n v="104.1"/>
    <n v="106.9"/>
    <n v="109.7"/>
    <n v="112.6"/>
    <n v="114.9"/>
    <n v="110.7"/>
    <n v="111.3"/>
    <n v="110.2"/>
    <n v="111.1"/>
    <n v="141"/>
    <n v="109.9"/>
    <n v="108.7"/>
    <n v="107.5"/>
    <n v="107.8"/>
    <n v="106.8"/>
    <n v="108.7"/>
    <n v="105"/>
    <n v="107.5"/>
    <n v="112.1"/>
    <n v="8"/>
  </r>
  <r>
    <s v="Urban"/>
    <x v="0"/>
    <s v="August"/>
    <d v="2013-08-01T00:00:00"/>
    <s v="Pre-COVID"/>
    <n v="118.3"/>
    <n v="120.4"/>
    <n v="112.7"/>
    <n v="108.9"/>
    <n v="101.1"/>
    <n v="108.7"/>
    <n v="177"/>
    <n v="104.7"/>
    <n v="101"/>
    <n v="108.5"/>
    <n v="110.9"/>
    <n v="114.3"/>
    <n v="119.6"/>
    <n v="112.4"/>
    <n v="110.6"/>
    <n v="108.3"/>
    <n v="110.2"/>
    <n v="108.9"/>
    <n v="109.3"/>
    <n v="108.7"/>
    <n v="107.6"/>
    <n v="108.1"/>
    <n v="106.5"/>
    <n v="110.8"/>
    <n v="106"/>
    <n v="108.3"/>
    <n v="112.7"/>
    <n v="8"/>
  </r>
  <r>
    <s v="Rural+Urban"/>
    <x v="2"/>
    <s v="October"/>
    <d v="2022-10-01T00:00:00"/>
    <s v="Post-COVID"/>
    <n v="165.2"/>
    <n v="210.9"/>
    <n v="170.9"/>
    <n v="170.9"/>
    <n v="186.5"/>
    <n v="163.80000000000001"/>
    <n v="199.7"/>
    <n v="169.8"/>
    <n v="121.9"/>
    <n v="199.9"/>
    <n v="169.9"/>
    <n v="188.3"/>
    <n v="179.6"/>
    <n v="196.3"/>
    <n v="181.9"/>
    <n v="175.3"/>
    <n v="181"/>
    <n v="171.2"/>
    <n v="180.5"/>
    <n v="170.4"/>
    <n v="178.7"/>
    <n v="162.9"/>
    <n v="168.2"/>
    <n v="173.4"/>
    <n v="172.1"/>
    <n v="170.5"/>
    <n v="176.7"/>
    <n v="10"/>
  </r>
  <r>
    <s v="Rural"/>
    <x v="0"/>
    <s v="September"/>
    <d v="2013-09-01T00:00:00"/>
    <s v="Pre-COVID"/>
    <n v="115.4"/>
    <n v="115.7"/>
    <n v="111.7"/>
    <n v="111"/>
    <n v="107.4"/>
    <n v="110.9"/>
    <n v="154"/>
    <n v="108.1"/>
    <n v="104.2"/>
    <n v="107.9"/>
    <n v="110.4"/>
    <n v="114"/>
    <n v="117.8"/>
    <n v="111.7"/>
    <n v="112.7"/>
    <n v="111.4"/>
    <n v="112.5"/>
    <n v="141"/>
    <n v="111.1"/>
    <n v="109.6"/>
    <n v="108.3"/>
    <n v="109.3"/>
    <n v="107.7"/>
    <n v="109.8"/>
    <n v="106.7"/>
    <n v="108.7"/>
    <n v="114.2"/>
    <n v="9"/>
  </r>
  <r>
    <s v="Urban"/>
    <x v="0"/>
    <s v="September"/>
    <d v="2013-09-01T00:00:00"/>
    <s v="Pre-COVID"/>
    <n v="118.6"/>
    <n v="119.1"/>
    <n v="113.2"/>
    <n v="109.6"/>
    <n v="101.7"/>
    <n v="103.2"/>
    <n v="174.3"/>
    <n v="105.1"/>
    <n v="100.8"/>
    <n v="109.1"/>
    <n v="111.1"/>
    <n v="115.4"/>
    <n v="119.2"/>
    <n v="112.9"/>
    <n v="111.4"/>
    <n v="109"/>
    <n v="111.1"/>
    <n v="109.7"/>
    <n v="109.5"/>
    <n v="109.6"/>
    <n v="107.9"/>
    <n v="110.4"/>
    <n v="107.4"/>
    <n v="111.2"/>
    <n v="106.9"/>
    <n v="109.4"/>
    <n v="113.2"/>
    <n v="9"/>
  </r>
  <r>
    <s v="Rural+Urban"/>
    <x v="2"/>
    <s v="September"/>
    <d v="2022-09-01T00:00:00"/>
    <s v="Post-COVID"/>
    <n v="163.5"/>
    <n v="209.2"/>
    <n v="169.7"/>
    <n v="169.7"/>
    <n v="188.7"/>
    <n v="165.7"/>
    <n v="191.8"/>
    <n v="169.1"/>
    <n v="121.6"/>
    <n v="197.3"/>
    <n v="169.4"/>
    <n v="187.4"/>
    <n v="177.8"/>
    <n v="195.9"/>
    <n v="180.9"/>
    <n v="174.3"/>
    <n v="179.9"/>
    <n v="169.5"/>
    <n v="179.5"/>
    <n v="169.5"/>
    <n v="177.8"/>
    <n v="162.30000000000001"/>
    <n v="167.6"/>
    <n v="173.1"/>
    <n v="170.9"/>
    <n v="169.7"/>
    <n v="175.3"/>
    <n v="9"/>
  </r>
  <r>
    <s v="Rural"/>
    <x v="0"/>
    <s v="October"/>
    <d v="2013-10-01T00:00:00"/>
    <s v="Pre-COVID"/>
    <n v="116.3"/>
    <n v="115.4"/>
    <n v="112.6"/>
    <n v="111.7"/>
    <n v="107.7"/>
    <n v="113.2"/>
    <n v="164.9"/>
    <n v="108.3"/>
    <n v="103.9"/>
    <n v="108.2"/>
    <n v="111.1"/>
    <n v="114.9"/>
    <n v="119.8"/>
    <n v="112.2"/>
    <n v="113.6"/>
    <n v="112.3"/>
    <n v="113.4"/>
    <n v="141"/>
    <n v="111.6"/>
    <n v="110.4"/>
    <n v="108.9"/>
    <n v="109.3"/>
    <n v="108.3"/>
    <n v="110.2"/>
    <n v="107.5"/>
    <n v="109.1"/>
    <n v="115.5"/>
    <n v="10"/>
  </r>
  <r>
    <s v="Urban"/>
    <x v="0"/>
    <s v="October"/>
    <d v="2013-10-01T00:00:00"/>
    <s v="Pre-COVID"/>
    <n v="118.9"/>
    <n v="118.1"/>
    <n v="114.5"/>
    <n v="110.4"/>
    <n v="102.3"/>
    <n v="106.2"/>
    <n v="183.5"/>
    <n v="105.3"/>
    <n v="100.2"/>
    <n v="109.6"/>
    <n v="111.4"/>
    <n v="116"/>
    <n v="120.8"/>
    <n v="113.5"/>
    <n v="112.5"/>
    <n v="109.7"/>
    <n v="112"/>
    <n v="110.5"/>
    <n v="109.7"/>
    <n v="110.2"/>
    <n v="108.2"/>
    <n v="109.7"/>
    <n v="108"/>
    <n v="111.3"/>
    <n v="107.3"/>
    <n v="109.4"/>
    <n v="114"/>
    <n v="10"/>
  </r>
  <r>
    <s v="Rural+Urban"/>
    <x v="2"/>
    <s v="August"/>
    <d v="2022-08-01T00:00:00"/>
    <s v="Post-COVID"/>
    <n v="160.30000000000001"/>
    <n v="206.5"/>
    <n v="169.2"/>
    <n v="168.1"/>
    <n v="192.4"/>
    <n v="172.9"/>
    <n v="186.7"/>
    <n v="167.2"/>
    <n v="120.9"/>
    <n v="193.6"/>
    <n v="168.8"/>
    <n v="186.3"/>
    <n v="176.3"/>
    <n v="195"/>
    <n v="179.5"/>
    <n v="172.7"/>
    <n v="178.5"/>
    <n v="169"/>
    <n v="178.8"/>
    <n v="168.5"/>
    <n v="176.8"/>
    <n v="161.9"/>
    <n v="166.9"/>
    <n v="172.3"/>
    <n v="171.2"/>
    <n v="169.1"/>
    <n v="174.3"/>
    <n v="8"/>
  </r>
  <r>
    <s v="Rural"/>
    <x v="0"/>
    <s v="November"/>
    <d v="2013-11-01T00:00:00"/>
    <s v="Pre-COVID"/>
    <n v="117.3"/>
    <n v="114.9"/>
    <n v="116.2"/>
    <n v="112.8"/>
    <n v="108.9"/>
    <n v="116.6"/>
    <n v="178.1"/>
    <n v="109.1"/>
    <n v="103.6"/>
    <n v="109"/>
    <n v="111.8"/>
    <n v="116"/>
    <n v="122.5"/>
    <n v="112.8"/>
    <n v="114.6"/>
    <n v="113.1"/>
    <n v="114.4"/>
    <n v="141"/>
    <n v="112.6"/>
    <n v="111.3"/>
    <n v="109.7"/>
    <n v="109.6"/>
    <n v="108.7"/>
    <n v="111"/>
    <n v="108.2"/>
    <n v="109.8"/>
    <n v="117.4"/>
    <n v="11"/>
  </r>
  <r>
    <s v="Urban"/>
    <x v="0"/>
    <s v="November"/>
    <d v="2013-11-01T00:00:00"/>
    <s v="Pre-COVID"/>
    <n v="119.8"/>
    <n v="116.3"/>
    <n v="122.6"/>
    <n v="112"/>
    <n v="103.2"/>
    <n v="110"/>
    <n v="192.8"/>
    <n v="106.3"/>
    <n v="99.5"/>
    <n v="110.3"/>
    <n v="111.8"/>
    <n v="117.1"/>
    <n v="122.9"/>
    <n v="114.1"/>
    <n v="113.5"/>
    <n v="110.3"/>
    <n v="113"/>
    <n v="111.1"/>
    <n v="110"/>
    <n v="110.9"/>
    <n v="108.6"/>
    <n v="109.5"/>
    <n v="108.5"/>
    <n v="111.3"/>
    <n v="107.9"/>
    <n v="109.6"/>
    <n v="115"/>
    <n v="11"/>
  </r>
  <r>
    <s v="Rural+Urban"/>
    <x v="2"/>
    <s v="July"/>
    <d v="2022-07-01T00:00:00"/>
    <s v="Post-COVID"/>
    <n v="156.5"/>
    <n v="213"/>
    <n v="175.2"/>
    <n v="166.6"/>
    <n v="195.8"/>
    <n v="174.2"/>
    <n v="182.1"/>
    <n v="164.3"/>
    <n v="120"/>
    <n v="190"/>
    <n v="168.4"/>
    <n v="185.2"/>
    <n v="175"/>
    <n v="194.6"/>
    <n v="178.3"/>
    <n v="171.3"/>
    <n v="177.3"/>
    <n v="167.8"/>
    <n v="179.6"/>
    <n v="167.4"/>
    <n v="176.1"/>
    <n v="161.6"/>
    <n v="166.3"/>
    <n v="171.4"/>
    <n v="169.7"/>
    <n v="168.4"/>
    <n v="173.4"/>
    <n v="7"/>
  </r>
  <r>
    <s v="Rural"/>
    <x v="0"/>
    <s v="December"/>
    <d v="2013-12-01T00:00:00"/>
    <s v="Pre-COVID"/>
    <n v="118.4"/>
    <n v="115.9"/>
    <n v="120.4"/>
    <n v="113.8"/>
    <n v="109.5"/>
    <n v="115.5"/>
    <n v="145.69999999999999"/>
    <n v="109.5"/>
    <n v="102.9"/>
    <n v="109.8"/>
    <n v="112.1"/>
    <n v="116.8"/>
    <n v="118.7"/>
    <n v="113.6"/>
    <n v="115.8"/>
    <n v="114"/>
    <n v="115.5"/>
    <n v="141"/>
    <n v="112.8"/>
    <n v="112.1"/>
    <n v="110.1"/>
    <n v="109.9"/>
    <n v="109.2"/>
    <n v="111.6"/>
    <n v="108.1"/>
    <n v="110.1"/>
    <n v="115.5"/>
    <n v="12"/>
  </r>
  <r>
    <s v="Urban"/>
    <x v="0"/>
    <s v="December"/>
    <d v="2013-12-01T00:00:00"/>
    <s v="Pre-COVID"/>
    <n v="120.5"/>
    <n v="118.1"/>
    <n v="128.5"/>
    <n v="112.8"/>
    <n v="103.4"/>
    <n v="110.7"/>
    <n v="144.80000000000001"/>
    <n v="107.1"/>
    <n v="98.6"/>
    <n v="111.9"/>
    <n v="112.1"/>
    <n v="118.1"/>
    <n v="117.8"/>
    <n v="115"/>
    <n v="114.2"/>
    <n v="110.9"/>
    <n v="113.7"/>
    <n v="110.7"/>
    <n v="110.4"/>
    <n v="111.3"/>
    <n v="109"/>
    <n v="109.7"/>
    <n v="108.9"/>
    <n v="111.4"/>
    <n v="107.7"/>
    <n v="109.8"/>
    <n v="113.3"/>
    <n v="12"/>
  </r>
  <r>
    <s v="Rural+Urban"/>
    <x v="2"/>
    <s v="June"/>
    <d v="2022-06-01T00:00:00"/>
    <s v="Post-COVID"/>
    <n v="155"/>
    <n v="219.4"/>
    <n v="170.8"/>
    <n v="165.8"/>
    <n v="200.9"/>
    <n v="169.7"/>
    <n v="182.3"/>
    <n v="164.3"/>
    <n v="119.9"/>
    <n v="187.1"/>
    <n v="167.9"/>
    <n v="183.9"/>
    <n v="174.9"/>
    <n v="194.3"/>
    <n v="177.1"/>
    <n v="169.9"/>
    <n v="176"/>
    <n v="166.8"/>
    <n v="176"/>
    <n v="166.4"/>
    <n v="175.4"/>
    <n v="161.1"/>
    <n v="165.8"/>
    <n v="169"/>
    <n v="169.4"/>
    <n v="167.5"/>
    <n v="172.6"/>
    <n v="6"/>
  </r>
  <r>
    <s v="Rural"/>
    <x v="3"/>
    <s v="January"/>
    <d v="2014-01-01T00:00:00"/>
    <s v="Pre-COVID"/>
    <n v="118.9"/>
    <n v="117.1"/>
    <n v="120.5"/>
    <n v="114.4"/>
    <n v="109"/>
    <n v="115.5"/>
    <n v="123.9"/>
    <n v="109.6"/>
    <n v="101.8"/>
    <n v="110.2"/>
    <n v="112.4"/>
    <n v="117.3"/>
    <n v="116"/>
    <n v="114"/>
    <n v="116.5"/>
    <n v="114.5"/>
    <n v="116.2"/>
    <n v="141"/>
    <n v="113"/>
    <n v="112.6"/>
    <n v="110.6"/>
    <n v="110.5"/>
    <n v="109.6"/>
    <n v="111.8"/>
    <n v="108.3"/>
    <n v="110.6"/>
    <n v="114.2"/>
    <n v="1"/>
  </r>
  <r>
    <s v="Urban"/>
    <x v="3"/>
    <s v="January"/>
    <d v="2014-01-01T00:00:00"/>
    <s v="Pre-COVID"/>
    <n v="121.2"/>
    <n v="122"/>
    <n v="129.9"/>
    <n v="113.6"/>
    <n v="102.9"/>
    <n v="112.1"/>
    <n v="118.9"/>
    <n v="107.5"/>
    <n v="96.9"/>
    <n v="112.7"/>
    <n v="112.1"/>
    <n v="119"/>
    <n v="115.5"/>
    <n v="115.7"/>
    <n v="114.8"/>
    <n v="111.3"/>
    <n v="114.3"/>
    <n v="111.6"/>
    <n v="111"/>
    <n v="111.9"/>
    <n v="109.7"/>
    <n v="110.8"/>
    <n v="109.8"/>
    <n v="111.5"/>
    <n v="108"/>
    <n v="110.5"/>
    <n v="112.9"/>
    <n v="1"/>
  </r>
  <r>
    <s v="Rural+Urban"/>
    <x v="2"/>
    <s v="May"/>
    <d v="2022-05-01T00:00:00"/>
    <s v="Post-COVID"/>
    <n v="154.1"/>
    <n v="217"/>
    <n v="162.4"/>
    <n v="164.9"/>
    <n v="202.4"/>
    <n v="171"/>
    <n v="174.9"/>
    <n v="164.7"/>
    <n v="119.7"/>
    <n v="184.9"/>
    <n v="167.1"/>
    <n v="182.5"/>
    <n v="173.3"/>
    <n v="194.1"/>
    <n v="175.6"/>
    <n v="168.4"/>
    <n v="174.6"/>
    <n v="167.5"/>
    <n v="174.6"/>
    <n v="165.2"/>
    <n v="174.8"/>
    <n v="163"/>
    <n v="165.1"/>
    <n v="167.9"/>
    <n v="168.4"/>
    <n v="167.5"/>
    <n v="171.7"/>
    <n v="5"/>
  </r>
  <r>
    <s v="Rural"/>
    <x v="3"/>
    <s v="February"/>
    <d v="2014-02-01T00:00:00"/>
    <s v="Pre-COVID"/>
    <n v="119.4"/>
    <n v="117.7"/>
    <n v="121.2"/>
    <n v="115"/>
    <n v="109"/>
    <n v="116.6"/>
    <n v="116"/>
    <n v="109.8"/>
    <n v="101.1"/>
    <n v="110.4"/>
    <n v="112.9"/>
    <n v="117.8"/>
    <n v="115.3"/>
    <n v="114.2"/>
    <n v="117.1"/>
    <n v="114.5"/>
    <n v="116.7"/>
    <n v="141"/>
    <n v="113.2"/>
    <n v="112.9"/>
    <n v="110.9"/>
    <n v="110.8"/>
    <n v="109.9"/>
    <n v="112"/>
    <n v="108.7"/>
    <n v="110.9"/>
    <n v="114"/>
    <n v="2"/>
  </r>
  <r>
    <s v="Urban"/>
    <x v="3"/>
    <s v="February"/>
    <d v="2014-02-01T00:00:00"/>
    <s v="Pre-COVID"/>
    <n v="121.9"/>
    <n v="122"/>
    <n v="124.5"/>
    <n v="115.2"/>
    <n v="102.5"/>
    <n v="114.1"/>
    <n v="111.5"/>
    <n v="108.2"/>
    <n v="95.4"/>
    <n v="113.5"/>
    <n v="112.1"/>
    <n v="119.9"/>
    <n v="115.2"/>
    <n v="116.2"/>
    <n v="115.3"/>
    <n v="111.7"/>
    <n v="114.7"/>
    <n v="112.5"/>
    <n v="111.1"/>
    <n v="112.6"/>
    <n v="110.4"/>
    <n v="111.3"/>
    <n v="110.3"/>
    <n v="111.6"/>
    <n v="108.7"/>
    <n v="111"/>
    <n v="113.1"/>
    <n v="2"/>
  </r>
  <r>
    <s v="Rural+Urban"/>
    <x v="2"/>
    <s v="April"/>
    <d v="2022-04-01T00:00:00"/>
    <s v="Post-COVID"/>
    <n v="152.9"/>
    <n v="211.8"/>
    <n v="164.5"/>
    <n v="163.9"/>
    <n v="199.5"/>
    <n v="172.6"/>
    <n v="166.2"/>
    <n v="164.7"/>
    <n v="119"/>
    <n v="181.3"/>
    <n v="166.2"/>
    <n v="180.9"/>
    <n v="170.8"/>
    <n v="193.9"/>
    <n v="173.9"/>
    <n v="166.5"/>
    <n v="172.8"/>
    <n v="167"/>
    <n v="172.2"/>
    <n v="164"/>
    <n v="174"/>
    <n v="162.6"/>
    <n v="164.4"/>
    <n v="166.9"/>
    <n v="168.8"/>
    <n v="166.8"/>
    <n v="170.1"/>
    <n v="4"/>
  </r>
  <r>
    <s v="Rural"/>
    <x v="3"/>
    <s v="March"/>
    <d v="2014-03-01T00:00:00"/>
    <s v="Pre-COVID"/>
    <n v="120.1"/>
    <n v="118.1"/>
    <n v="120.7"/>
    <n v="116.1"/>
    <n v="109.3"/>
    <n v="119.6"/>
    <n v="117.9"/>
    <n v="110.2"/>
    <n v="101.2"/>
    <n v="110.7"/>
    <n v="113"/>
    <n v="118.3"/>
    <n v="116.2"/>
    <n v="114.6"/>
    <n v="117.5"/>
    <n v="114.9"/>
    <n v="117.2"/>
    <n v="141"/>
    <n v="113.4"/>
    <n v="113.4"/>
    <n v="111.4"/>
    <n v="111.2"/>
    <n v="110.2"/>
    <n v="112.4"/>
    <n v="108.9"/>
    <n v="111.3"/>
    <n v="114.6"/>
    <n v="3"/>
  </r>
  <r>
    <s v="Urban"/>
    <x v="3"/>
    <s v="March"/>
    <d v="2014-03-01T00:00:00"/>
    <s v="Pre-COVID"/>
    <n v="122.1"/>
    <n v="121.4"/>
    <n v="121.5"/>
    <n v="116.2"/>
    <n v="102.8"/>
    <n v="117.7"/>
    <n v="113.3"/>
    <n v="108.9"/>
    <n v="96.3"/>
    <n v="114.1"/>
    <n v="112.2"/>
    <n v="120.5"/>
    <n v="116"/>
    <n v="116.7"/>
    <n v="115.8"/>
    <n v="112.1"/>
    <n v="115.2"/>
    <n v="113.2"/>
    <n v="110.9"/>
    <n v="113"/>
    <n v="110.8"/>
    <n v="111.6"/>
    <n v="110.9"/>
    <n v="111.8"/>
    <n v="109.2"/>
    <n v="111.4"/>
    <n v="113.7"/>
    <n v="3"/>
  </r>
  <r>
    <s v="Rural+Urban"/>
    <x v="2"/>
    <s v="March"/>
    <d v="2022-03-01T00:00:00"/>
    <s v="Post-COVID"/>
    <n v="151.30000000000001"/>
    <n v="210.7"/>
    <n v="167.8"/>
    <n v="162.19999999999999"/>
    <n v="194.6"/>
    <n v="157.6"/>
    <n v="166.9"/>
    <n v="163.9"/>
    <n v="118.8"/>
    <n v="177.4"/>
    <n v="165.3"/>
    <n v="179.3"/>
    <n v="168.4"/>
    <n v="193.7"/>
    <n v="172.1"/>
    <n v="164.6"/>
    <n v="171.1"/>
    <n v="165.3"/>
    <n v="167.2"/>
    <n v="162.80000000000001"/>
    <n v="173"/>
    <n v="157.9"/>
    <n v="163.30000000000001"/>
    <n v="166"/>
    <n v="167.2"/>
    <n v="164.6"/>
    <n v="167.7"/>
    <n v="3"/>
  </r>
  <r>
    <s v="Rural"/>
    <x v="3"/>
    <s v="April"/>
    <d v="2014-04-01T00:00:00"/>
    <s v="Pre-COVID"/>
    <n v="120.2"/>
    <n v="118.9"/>
    <n v="118.1"/>
    <n v="117"/>
    <n v="109.7"/>
    <n v="125.5"/>
    <n v="120.5"/>
    <n v="111"/>
    <n v="102.6"/>
    <n v="111.2"/>
    <n v="113.5"/>
    <n v="118.7"/>
    <n v="117.2"/>
    <n v="115.4"/>
    <n v="118.1"/>
    <n v="116.1"/>
    <n v="117.8"/>
    <n v="141"/>
    <n v="113.4"/>
    <n v="113.7"/>
    <n v="111.8"/>
    <n v="111.2"/>
    <n v="110.5"/>
    <n v="113"/>
    <n v="108.9"/>
    <n v="111.5"/>
    <n v="115.4"/>
    <n v="4"/>
  </r>
  <r>
    <s v="Urban"/>
    <x v="3"/>
    <s v="April"/>
    <d v="2014-04-01T00:00:00"/>
    <s v="Pre-COVID"/>
    <n v="122.5"/>
    <n v="121.7"/>
    <n v="113.3"/>
    <n v="117"/>
    <n v="103.1"/>
    <n v="126.7"/>
    <n v="121.2"/>
    <n v="111"/>
    <n v="100.3"/>
    <n v="115.3"/>
    <n v="112.7"/>
    <n v="121"/>
    <n v="118.2"/>
    <n v="117.6"/>
    <n v="116.3"/>
    <n v="112.5"/>
    <n v="115.7"/>
    <n v="113.9"/>
    <n v="110.9"/>
    <n v="113.4"/>
    <n v="111"/>
    <n v="111.2"/>
    <n v="111.2"/>
    <n v="112.5"/>
    <n v="109.1"/>
    <n v="111.4"/>
    <n v="114.7"/>
    <n v="4"/>
  </r>
  <r>
    <s v="Rural+Urban"/>
    <x v="2"/>
    <s v="February"/>
    <d v="2022-02-01T00:00:00"/>
    <s v="Post-COVID"/>
    <n v="150"/>
    <n v="200.6"/>
    <n v="175.8"/>
    <n v="160.69999999999999"/>
    <n v="184.9"/>
    <n v="153.69999999999999"/>
    <n v="169.7"/>
    <n v="163.69999999999999"/>
    <n v="118.9"/>
    <n v="174.3"/>
    <n v="164.7"/>
    <n v="178"/>
    <n v="166.2"/>
    <n v="192.8"/>
    <n v="170.8"/>
    <n v="162.4"/>
    <n v="169.6"/>
    <n v="165.5"/>
    <n v="165.7"/>
    <n v="161.80000000000001"/>
    <n v="172.2"/>
    <n v="156.9"/>
    <n v="162.1"/>
    <n v="165.4"/>
    <n v="164.4"/>
    <n v="163.5"/>
    <n v="166.1"/>
    <n v="2"/>
  </r>
  <r>
    <s v="Rural"/>
    <x v="3"/>
    <s v="May"/>
    <d v="2014-05-01T00:00:00"/>
    <s v="Pre-COVID"/>
    <n v="120.3"/>
    <n v="120.2"/>
    <n v="116.9"/>
    <n v="118"/>
    <n v="110.1"/>
    <n v="126.3"/>
    <n v="123.9"/>
    <n v="111.5"/>
    <n v="103.5"/>
    <n v="111.6"/>
    <n v="114.2"/>
    <n v="119.2"/>
    <n v="118.2"/>
    <n v="116.3"/>
    <n v="118.7"/>
    <n v="116.8"/>
    <n v="118.5"/>
    <n v="141"/>
    <n v="113.4"/>
    <n v="114.1"/>
    <n v="112.1"/>
    <n v="111.4"/>
    <n v="110.9"/>
    <n v="113.1"/>
    <n v="108.9"/>
    <n v="111.8"/>
    <n v="116"/>
    <n v="5"/>
  </r>
  <r>
    <s v="Urban"/>
    <x v="3"/>
    <s v="May"/>
    <d v="2014-05-01T00:00:00"/>
    <s v="Pre-COVID"/>
    <n v="122.7"/>
    <n v="124.1"/>
    <n v="114.2"/>
    <n v="119.1"/>
    <n v="103.5"/>
    <n v="129.19999999999999"/>
    <n v="127"/>
    <n v="112.6"/>
    <n v="101.3"/>
    <n v="117"/>
    <n v="112.9"/>
    <n v="121.7"/>
    <n v="120"/>
    <n v="118.3"/>
    <n v="116.8"/>
    <n v="112.9"/>
    <n v="116.2"/>
    <n v="114.3"/>
    <n v="111.1"/>
    <n v="114.1"/>
    <n v="111.2"/>
    <n v="111.3"/>
    <n v="111.5"/>
    <n v="112.9"/>
    <n v="109.3"/>
    <n v="111.7"/>
    <n v="115.6"/>
    <n v="5"/>
  </r>
  <r>
    <s v="Rural+Urban"/>
    <x v="2"/>
    <s v="January"/>
    <d v="2022-01-01T00:00:00"/>
    <s v="Post-COVID"/>
    <n v="149.5"/>
    <n v="198.7"/>
    <n v="178.8"/>
    <n v="160.5"/>
    <n v="184.7"/>
    <n v="153.69999999999999"/>
    <n v="174.3"/>
    <n v="163.9"/>
    <n v="120"/>
    <n v="172.1"/>
    <n v="164.3"/>
    <n v="177.3"/>
    <n v="166.4"/>
    <n v="192.2"/>
    <n v="169.9"/>
    <n v="160.69999999999999"/>
    <n v="168.5"/>
    <n v="164.5"/>
    <n v="164.2"/>
    <n v="161.1"/>
    <n v="171.4"/>
    <n v="156.5"/>
    <n v="161.19999999999999"/>
    <n v="164.7"/>
    <n v="163"/>
    <n v="162.69999999999999"/>
    <n v="165.7"/>
    <n v="1"/>
  </r>
  <r>
    <s v="Rural"/>
    <x v="3"/>
    <s v="June"/>
    <d v="2014-06-01T00:00:00"/>
    <s v="Pre-COVID"/>
    <n v="120.7"/>
    <n v="121.6"/>
    <n v="116.1"/>
    <n v="119.3"/>
    <n v="110.3"/>
    <n v="125.8"/>
    <n v="129.30000000000001"/>
    <n v="112.2"/>
    <n v="103.6"/>
    <n v="112.3"/>
    <n v="114.9"/>
    <n v="120.1"/>
    <n v="119.5"/>
    <n v="117.3"/>
    <n v="119.7"/>
    <n v="117.3"/>
    <n v="119.3"/>
    <n v="141"/>
    <n v="114.4"/>
    <n v="114.9"/>
    <n v="112.8"/>
    <n v="112.2"/>
    <n v="111.4"/>
    <n v="114.3"/>
    <n v="108"/>
    <n v="112.3"/>
    <n v="117"/>
    <n v="6"/>
  </r>
  <r>
    <s v="Urban"/>
    <x v="3"/>
    <s v="June"/>
    <d v="2014-06-01T00:00:00"/>
    <s v="Pre-COVID"/>
    <n v="123.1"/>
    <n v="125.9"/>
    <n v="115.4"/>
    <n v="120.4"/>
    <n v="103.4"/>
    <n v="131.19999999999999"/>
    <n v="137.5"/>
    <n v="112.8"/>
    <n v="101.4"/>
    <n v="118.3"/>
    <n v="113.2"/>
    <n v="122.4"/>
    <n v="122"/>
    <n v="119"/>
    <n v="117.4"/>
    <n v="113.2"/>
    <n v="116.7"/>
    <n v="113.9"/>
    <n v="111.2"/>
    <n v="114.3"/>
    <n v="111.4"/>
    <n v="111.5"/>
    <n v="111.8"/>
    <n v="115.1"/>
    <n v="108.7"/>
    <n v="112.2"/>
    <n v="116.4"/>
    <n v="6"/>
  </r>
  <r>
    <s v="Rural+Urban"/>
    <x v="4"/>
    <s v="December"/>
    <d v="2021-12-01T00:00:00"/>
    <s v="Post-COVID"/>
    <n v="148.69999999999999"/>
    <n v="198.8"/>
    <n v="177.9"/>
    <n v="159.9"/>
    <n v="187.6"/>
    <n v="154.9"/>
    <n v="188.3"/>
    <n v="164.4"/>
    <n v="121"/>
    <n v="170.5"/>
    <n v="164.2"/>
    <n v="176.5"/>
    <n v="168.2"/>
    <n v="192.4"/>
    <n v="168.5"/>
    <n v="158.69999999999999"/>
    <n v="167"/>
    <n v="163.4"/>
    <n v="164.1"/>
    <n v="160.19999999999999"/>
    <n v="170.6"/>
    <n v="155.69999999999999"/>
    <n v="160.6"/>
    <n v="164.4"/>
    <n v="162.6"/>
    <n v="162"/>
    <n v="166.2"/>
    <n v="12"/>
  </r>
  <r>
    <s v="Rural"/>
    <x v="3"/>
    <s v="July"/>
    <d v="2014-07-01T00:00:00"/>
    <s v="Pre-COVID"/>
    <n v="121.7"/>
    <n v="122.5"/>
    <n v="117.7"/>
    <n v="120.6"/>
    <n v="110.4"/>
    <n v="129.1"/>
    <n v="150.1"/>
    <n v="113.2"/>
    <n v="104.8"/>
    <n v="113.3"/>
    <n v="115.6"/>
    <n v="120.9"/>
    <n v="123.3"/>
    <n v="118"/>
    <n v="120.7"/>
    <n v="118.3"/>
    <n v="120.3"/>
    <n v="141"/>
    <n v="115.3"/>
    <n v="115.4"/>
    <n v="113.4"/>
    <n v="113.2"/>
    <n v="111.8"/>
    <n v="115.5"/>
    <n v="108.8"/>
    <n v="113.1"/>
    <n v="119.5"/>
    <n v="7"/>
  </r>
  <r>
    <s v="Urban"/>
    <x v="3"/>
    <s v="July"/>
    <d v="2014-07-01T00:00:00"/>
    <s v="Pre-COVID"/>
    <n v="123.8"/>
    <n v="126.4"/>
    <n v="118"/>
    <n v="121.6"/>
    <n v="103.5"/>
    <n v="133.69999999999999"/>
    <n v="172.4"/>
    <n v="113.1"/>
    <n v="102.7"/>
    <n v="120"/>
    <n v="113.8"/>
    <n v="123.4"/>
    <n v="127.1"/>
    <n v="121"/>
    <n v="118"/>
    <n v="113.6"/>
    <n v="117.4"/>
    <n v="114.8"/>
    <n v="111.6"/>
    <n v="114.9"/>
    <n v="111.5"/>
    <n v="113"/>
    <n v="112.4"/>
    <n v="117.8"/>
    <n v="109.7"/>
    <n v="113.5"/>
    <n v="118.9"/>
    <n v="7"/>
  </r>
  <r>
    <s v="Rural+Urban"/>
    <x v="4"/>
    <s v="November"/>
    <d v="2021-11-01T00:00:00"/>
    <s v="Post-COVID"/>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n v="11"/>
  </r>
  <r>
    <s v="Rural"/>
    <x v="3"/>
    <s v="August"/>
    <d v="2014-08-01T00:00:00"/>
    <s v="Pre-COVID"/>
    <n v="121.8"/>
    <n v="122.8"/>
    <n v="117.8"/>
    <n v="121.9"/>
    <n v="110.6"/>
    <n v="129.69999999999999"/>
    <n v="161.1"/>
    <n v="114.1"/>
    <n v="105.1"/>
    <n v="114.6"/>
    <n v="115.8"/>
    <n v="121.7"/>
    <n v="125.3"/>
    <n v="118.8"/>
    <n v="120.9"/>
    <n v="118.8"/>
    <n v="120.7"/>
    <n v="141"/>
    <n v="115.4"/>
    <n v="115.9"/>
    <n v="114"/>
    <n v="113.2"/>
    <n v="112.2"/>
    <n v="116.2"/>
    <n v="109.4"/>
    <n v="113.5"/>
    <n v="120.7"/>
    <n v="8"/>
  </r>
  <r>
    <s v="Urban"/>
    <x v="3"/>
    <s v="August"/>
    <d v="2014-08-01T00:00:00"/>
    <s v="Pre-COVID"/>
    <n v="124.8"/>
    <n v="127.3"/>
    <n v="116.5"/>
    <n v="122.2"/>
    <n v="103.6"/>
    <n v="132.69999999999999"/>
    <n v="181.9"/>
    <n v="115.2"/>
    <n v="102.7"/>
    <n v="122.1"/>
    <n v="114.4"/>
    <n v="124.7"/>
    <n v="128.9"/>
    <n v="123"/>
    <n v="118.6"/>
    <n v="114.1"/>
    <n v="117.9"/>
    <n v="115.5"/>
    <n v="111.8"/>
    <n v="115.3"/>
    <n v="112.2"/>
    <n v="112.5"/>
    <n v="112.9"/>
    <n v="119.2"/>
    <n v="110.5"/>
    <n v="113.9"/>
    <n v="119.9"/>
    <n v="8"/>
  </r>
  <r>
    <s v="Rural+Urban"/>
    <x v="4"/>
    <s v="October"/>
    <d v="2021-10-01T00:00:00"/>
    <s v="Post-COVID"/>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n v="10"/>
  </r>
  <r>
    <s v="Rural"/>
    <x v="3"/>
    <s v="September"/>
    <d v="2014-09-01T00:00:00"/>
    <s v="Pre-COVID"/>
    <n v="122.3"/>
    <n v="122.4"/>
    <n v="117.8"/>
    <n v="122.7"/>
    <n v="110.4"/>
    <n v="129.80000000000001"/>
    <n v="158.80000000000001"/>
    <n v="115"/>
    <n v="104.7"/>
    <n v="114.9"/>
    <n v="116.5"/>
    <n v="122.6"/>
    <n v="125.3"/>
    <n v="119.5"/>
    <n v="121.7"/>
    <n v="119.2"/>
    <n v="121.3"/>
    <n v="141"/>
    <n v="115.8"/>
    <n v="116.7"/>
    <n v="114.5"/>
    <n v="112.8"/>
    <n v="112.6"/>
    <n v="116.6"/>
    <n v="109.1"/>
    <n v="113.7"/>
    <n v="120.9"/>
    <n v="9"/>
  </r>
  <r>
    <s v="Urban"/>
    <x v="3"/>
    <s v="September"/>
    <d v="2014-09-01T00:00:00"/>
    <s v="Pre-COVID"/>
    <n v="124.2"/>
    <n v="125.4"/>
    <n v="116.4"/>
    <n v="122.7"/>
    <n v="103.5"/>
    <n v="124.5"/>
    <n v="168.6"/>
    <n v="116.9"/>
    <n v="101.9"/>
    <n v="122.9"/>
    <n v="114.8"/>
    <n v="125.2"/>
    <n v="126.7"/>
    <n v="124.3"/>
    <n v="119.2"/>
    <n v="114.5"/>
    <n v="118.4"/>
    <n v="116.1"/>
    <n v="111.8"/>
    <n v="115.5"/>
    <n v="112.3"/>
    <n v="111.2"/>
    <n v="113.4"/>
    <n v="120"/>
    <n v="110"/>
    <n v="113.6"/>
    <n v="119.2"/>
    <n v="9"/>
  </r>
  <r>
    <s v="Rural+Urban"/>
    <x v="4"/>
    <s v="September"/>
    <d v="2021-09-01T00:00:00"/>
    <s v="Post-COVID"/>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n v="9"/>
  </r>
  <r>
    <s v="Rural"/>
    <x v="3"/>
    <s v="October"/>
    <d v="2014-10-01T00:00:00"/>
    <s v="Pre-COVID"/>
    <n v="122.6"/>
    <n v="122.5"/>
    <n v="118.3"/>
    <n v="123.2"/>
    <n v="110.5"/>
    <n v="128.9"/>
    <n v="155.30000000000001"/>
    <n v="115.5"/>
    <n v="104"/>
    <n v="115.3"/>
    <n v="116.8"/>
    <n v="123.2"/>
    <n v="125.1"/>
    <n v="120"/>
    <n v="122.7"/>
    <n v="120.3"/>
    <n v="122.3"/>
    <n v="141"/>
    <n v="116.4"/>
    <n v="117.5"/>
    <n v="115.3"/>
    <n v="112.6"/>
    <n v="113"/>
    <n v="116.9"/>
    <n v="109.3"/>
    <n v="114"/>
    <n v="121"/>
    <n v="10"/>
  </r>
  <r>
    <s v="Urban"/>
    <x v="3"/>
    <s v="October"/>
    <d v="2014-10-01T00:00:00"/>
    <s v="Pre-COVID"/>
    <n v="124.6"/>
    <n v="126.1"/>
    <n v="117.8"/>
    <n v="123.1"/>
    <n v="103.5"/>
    <n v="123.5"/>
    <n v="159.6"/>
    <n v="117.4"/>
    <n v="101.2"/>
    <n v="123.8"/>
    <n v="115.2"/>
    <n v="125.9"/>
    <n v="125.8"/>
    <n v="124.3"/>
    <n v="119.6"/>
    <n v="114.9"/>
    <n v="118.9"/>
    <n v="116.7"/>
    <n v="112"/>
    <n v="115.8"/>
    <n v="112.6"/>
    <n v="111"/>
    <n v="113.6"/>
    <n v="120.2"/>
    <n v="110.1"/>
    <n v="113.7"/>
    <n v="119.1"/>
    <n v="10"/>
  </r>
  <r>
    <s v="Rural+Urban"/>
    <x v="4"/>
    <s v="August"/>
    <d v="2021-08-01T00:00:00"/>
    <s v="Post-COVID"/>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n v="8"/>
  </r>
  <r>
    <s v="Rural"/>
    <x v="3"/>
    <s v="November"/>
    <d v="2014-11-01T00:00:00"/>
    <s v="Pre-COVID"/>
    <n v="122.7"/>
    <n v="122.6"/>
    <n v="119.9"/>
    <n v="124"/>
    <n v="110.5"/>
    <n v="128.80000000000001"/>
    <n v="152"/>
    <n v="116.2"/>
    <n v="103.3"/>
    <n v="115.8"/>
    <n v="116.8"/>
    <n v="124.5"/>
    <n v="124.9"/>
    <n v="120.8"/>
    <n v="123.3"/>
    <n v="120.5"/>
    <n v="122.9"/>
    <n v="141"/>
    <n v="117.3"/>
    <n v="118.1"/>
    <n v="115.9"/>
    <n v="112"/>
    <n v="113.3"/>
    <n v="117.2"/>
    <n v="108.8"/>
    <n v="114.1"/>
    <n v="121.1"/>
    <n v="11"/>
  </r>
  <r>
    <s v="Urban"/>
    <x v="3"/>
    <s v="November"/>
    <d v="2014-11-01T00:00:00"/>
    <s v="Pre-COVID"/>
    <n v="124.5"/>
    <n v="125.6"/>
    <n v="122.7"/>
    <n v="124.6"/>
    <n v="103.2"/>
    <n v="122.2"/>
    <n v="153.19999999999999"/>
    <n v="119.3"/>
    <n v="99.8"/>
    <n v="124.6"/>
    <n v="115.8"/>
    <n v="126.9"/>
    <n v="125.4"/>
    <n v="125.8"/>
    <n v="120.3"/>
    <n v="115.4"/>
    <n v="119.5"/>
    <n v="117.1"/>
    <n v="112.6"/>
    <n v="116.4"/>
    <n v="113"/>
    <n v="109.7"/>
    <n v="114"/>
    <n v="120.3"/>
    <n v="109.6"/>
    <n v="113.4"/>
    <n v="119"/>
    <n v="11"/>
  </r>
  <r>
    <s v="Rural+Urban"/>
    <x v="4"/>
    <s v="July"/>
    <d v="2021-07-01T00:00:00"/>
    <s v="Post-COVID"/>
    <n v="146.4"/>
    <n v="206.8"/>
    <n v="182.2"/>
    <n v="157.5"/>
    <n v="182.1"/>
    <n v="163.9"/>
    <n v="164.2"/>
    <n v="164"/>
    <n v="114.5"/>
    <n v="168.3"/>
    <n v="160.9"/>
    <n v="172.2"/>
    <n v="164"/>
    <n v="191.2"/>
    <n v="162.80000000000001"/>
    <n v="153.1"/>
    <n v="161.4"/>
    <n v="161.5"/>
    <n v="160.69999999999999"/>
    <n v="155.80000000000001"/>
    <n v="167"/>
    <n v="153.1"/>
    <n v="155.30000000000001"/>
    <n v="163.19999999999999"/>
    <n v="160.1"/>
    <n v="159"/>
    <n v="162.5"/>
    <n v="7"/>
  </r>
  <r>
    <s v="Rural"/>
    <x v="3"/>
    <s v="December"/>
    <d v="2014-12-01T00:00:00"/>
    <s v="Pre-COVID"/>
    <n v="122.4"/>
    <n v="122.4"/>
    <n v="121.8"/>
    <n v="124.2"/>
    <n v="110.2"/>
    <n v="128.6"/>
    <n v="140.30000000000001"/>
    <n v="116.3"/>
    <n v="102"/>
    <n v="116"/>
    <n v="117.3"/>
    <n v="124.8"/>
    <n v="123.3"/>
    <n v="121.7"/>
    <n v="123.8"/>
    <n v="120.6"/>
    <n v="123.3"/>
    <n v="141"/>
    <n v="117.4"/>
    <n v="118.2"/>
    <n v="116.2"/>
    <n v="111.5"/>
    <n v="113.3"/>
    <n v="117.7"/>
    <n v="109.4"/>
    <n v="114.2"/>
    <n v="120.3"/>
    <n v="12"/>
  </r>
  <r>
    <s v="Urban"/>
    <x v="3"/>
    <s v="December"/>
    <d v="2014-12-01T00:00:00"/>
    <s v="Pre-COVID"/>
    <n v="124"/>
    <n v="124.7"/>
    <n v="126.3"/>
    <n v="124.9"/>
    <n v="103"/>
    <n v="122.3"/>
    <n v="141"/>
    <n v="120.1"/>
    <n v="97.8"/>
    <n v="125.4"/>
    <n v="116.1"/>
    <n v="127.6"/>
    <n v="124"/>
    <n v="126.4"/>
    <n v="120.7"/>
    <n v="115.8"/>
    <n v="120"/>
    <n v="116.5"/>
    <n v="113"/>
    <n v="116.8"/>
    <n v="113.2"/>
    <n v="108.8"/>
    <n v="114.3"/>
    <n v="120.7"/>
    <n v="110.4"/>
    <n v="113.4"/>
    <n v="118.4"/>
    <n v="12"/>
  </r>
  <r>
    <s v="Rural+Urban"/>
    <x v="4"/>
    <s v="June"/>
    <d v="2021-06-01T00:00:00"/>
    <s v="Post-COVID"/>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n v="6"/>
  </r>
  <r>
    <s v="Rural"/>
    <x v="5"/>
    <s v="January"/>
    <d v="2015-01-01T00:00:00"/>
    <s v="Pre-COVID"/>
    <n v="123.1"/>
    <n v="123.1"/>
    <n v="122.1"/>
    <n v="124.9"/>
    <n v="111"/>
    <n v="130.4"/>
    <n v="132.30000000000001"/>
    <n v="117.2"/>
    <n v="100.5"/>
    <n v="117.2"/>
    <n v="117.9"/>
    <n v="125.6"/>
    <n v="122.8"/>
    <n v="122.7"/>
    <n v="124.4"/>
    <n v="121.6"/>
    <n v="124"/>
    <n v="141"/>
    <n v="118.4"/>
    <n v="118.9"/>
    <n v="116.6"/>
    <n v="111"/>
    <n v="114"/>
    <n v="118.2"/>
    <n v="110.2"/>
    <n v="114.5"/>
    <n v="120.3"/>
    <n v="1"/>
  </r>
  <r>
    <s v="Urban"/>
    <x v="5"/>
    <s v="January"/>
    <d v="2015-01-01T00:00:00"/>
    <s v="Pre-COVID"/>
    <n v="124"/>
    <n v="125.5"/>
    <n v="126.6"/>
    <n v="125.2"/>
    <n v="104.3"/>
    <n v="121.3"/>
    <n v="134.4"/>
    <n v="122.9"/>
    <n v="96.1"/>
    <n v="126.6"/>
    <n v="116.5"/>
    <n v="128"/>
    <n v="123.5"/>
    <n v="127.4"/>
    <n v="121"/>
    <n v="116.1"/>
    <n v="120.2"/>
    <n v="117.3"/>
    <n v="113.4"/>
    <n v="117.2"/>
    <n v="113.7"/>
    <n v="107.9"/>
    <n v="114.6"/>
    <n v="120.8"/>
    <n v="111.4"/>
    <n v="113.4"/>
    <n v="118.5"/>
    <n v="1"/>
  </r>
  <r>
    <s v="Rural+Urban"/>
    <x v="4"/>
    <s v="May"/>
    <d v="2021-05-01T00:00:00"/>
    <s v="Post-COVID"/>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n v="5"/>
  </r>
  <r>
    <s v="Rural"/>
    <x v="5"/>
    <s v="February"/>
    <d v="2015-02-01T00:00:00"/>
    <s v="Pre-COVID"/>
    <n v="123.4"/>
    <n v="124.4"/>
    <n v="122.1"/>
    <n v="125.8"/>
    <n v="111.5"/>
    <n v="129.4"/>
    <n v="128.19999999999999"/>
    <n v="118.8"/>
    <n v="100"/>
    <n v="118.6"/>
    <n v="118.8"/>
    <n v="126.8"/>
    <n v="122.8"/>
    <n v="124.2"/>
    <n v="125.4"/>
    <n v="122.7"/>
    <n v="125"/>
    <n v="141"/>
    <n v="120"/>
    <n v="119.6"/>
    <n v="117.7"/>
    <n v="110.9"/>
    <n v="114.8"/>
    <n v="118.7"/>
    <n v="110.8"/>
    <n v="115"/>
    <n v="120.6"/>
    <n v="2"/>
  </r>
  <r>
    <s v="Urban"/>
    <x v="5"/>
    <s v="February"/>
    <d v="2015-02-01T00:00:00"/>
    <s v="Pre-COVID"/>
    <n v="124.3"/>
    <n v="126.5"/>
    <n v="119.5"/>
    <n v="125.6"/>
    <n v="104.9"/>
    <n v="121.6"/>
    <n v="131.80000000000001"/>
    <n v="125.1"/>
    <n v="95"/>
    <n v="127.7"/>
    <n v="116.8"/>
    <n v="128.6"/>
    <n v="123.7"/>
    <n v="128.1"/>
    <n v="121.3"/>
    <n v="116.5"/>
    <n v="120.6"/>
    <n v="118.1"/>
    <n v="114"/>
    <n v="117.7"/>
    <n v="114.1"/>
    <n v="106.8"/>
    <n v="114.9"/>
    <n v="120.4"/>
    <n v="111.7"/>
    <n v="113.2"/>
    <n v="118.7"/>
    <n v="2"/>
  </r>
  <r>
    <s v="Rural+Urban"/>
    <x v="4"/>
    <s v="April"/>
    <d v="2021-04-01T00:00:00"/>
    <s v="Post-COVID"/>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n v="4"/>
  </r>
  <r>
    <s v="Rural"/>
    <x v="5"/>
    <s v="March"/>
    <d v="2015-03-01T00:00:00"/>
    <s v="Pre-COVID"/>
    <n v="123.3"/>
    <n v="124.7"/>
    <n v="118.9"/>
    <n v="126"/>
    <n v="111.8"/>
    <n v="130.9"/>
    <n v="128"/>
    <n v="119.9"/>
    <n v="98.9"/>
    <n v="119.4"/>
    <n v="118.9"/>
    <n v="127.7"/>
    <n v="123.1"/>
    <n v="124.7"/>
    <n v="126"/>
    <n v="122.9"/>
    <n v="125.5"/>
    <n v="141"/>
    <n v="120.6"/>
    <n v="120.2"/>
    <n v="118.2"/>
    <n v="111.6"/>
    <n v="115.5"/>
    <n v="119.4"/>
    <n v="110.8"/>
    <n v="115.5"/>
    <n v="121.1"/>
    <n v="3"/>
  </r>
  <r>
    <s v="Urban"/>
    <x v="5"/>
    <s v="March"/>
    <d v="2015-03-01T00:00:00"/>
    <s v="Pre-COVID"/>
    <n v="124"/>
    <n v="126.7"/>
    <n v="113.5"/>
    <n v="125.9"/>
    <n v="104.8"/>
    <n v="123.8"/>
    <n v="131.4"/>
    <n v="127.2"/>
    <n v="93.2"/>
    <n v="127.4"/>
    <n v="117"/>
    <n v="129.19999999999999"/>
    <n v="123.9"/>
    <n v="128.80000000000001"/>
    <n v="121.7"/>
    <n v="116.9"/>
    <n v="120.9"/>
    <n v="118.6"/>
    <n v="114.4"/>
    <n v="118"/>
    <n v="114.3"/>
    <n v="108.4"/>
    <n v="115.4"/>
    <n v="120.6"/>
    <n v="111.3"/>
    <n v="113.8"/>
    <n v="119.1"/>
    <n v="3"/>
  </r>
  <r>
    <s v="Rural+Urban"/>
    <x v="4"/>
    <s v="March"/>
    <d v="2021-03-01T00:00:00"/>
    <s v="Post-COVID"/>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n v="3"/>
  </r>
  <r>
    <s v="Rural"/>
    <x v="5"/>
    <s v="April"/>
    <d v="2015-04-01T00:00:00"/>
    <s v="Pre-COVID"/>
    <n v="123.3"/>
    <n v="125.5"/>
    <n v="117.2"/>
    <n v="126.8"/>
    <n v="111.9"/>
    <n v="134.19999999999999"/>
    <n v="127.5"/>
    <n v="121.5"/>
    <n v="97.8"/>
    <n v="119.8"/>
    <n v="119.4"/>
    <n v="128.69999999999999"/>
    <n v="123.6"/>
    <n v="125.7"/>
    <n v="126.4"/>
    <n v="123.3"/>
    <n v="126"/>
    <n v="141"/>
    <n v="121.2"/>
    <n v="120.9"/>
    <n v="118.6"/>
    <n v="111.9"/>
    <n v="116.2"/>
    <n v="119.9"/>
    <n v="111.6"/>
    <n v="116"/>
    <n v="121.5"/>
    <n v="4"/>
  </r>
  <r>
    <s v="Urban"/>
    <x v="5"/>
    <s v="April"/>
    <d v="2015-04-01T00:00:00"/>
    <s v="Pre-COVID"/>
    <n v="123.8"/>
    <n v="128.19999999999999"/>
    <n v="110"/>
    <n v="126.3"/>
    <n v="104.5"/>
    <n v="130.6"/>
    <n v="130.80000000000001"/>
    <n v="131.30000000000001"/>
    <n v="91.6"/>
    <n v="127.7"/>
    <n v="117.2"/>
    <n v="129.5"/>
    <n v="124.6"/>
    <n v="130.1"/>
    <n v="122.1"/>
    <n v="117.2"/>
    <n v="121.3"/>
    <n v="119.2"/>
    <n v="114.7"/>
    <n v="118.4"/>
    <n v="114.6"/>
    <n v="108.4"/>
    <n v="115.6"/>
    <n v="121.7"/>
    <n v="111.8"/>
    <n v="114.2"/>
    <n v="119.7"/>
    <n v="4"/>
  </r>
  <r>
    <s v="Rural+Urban"/>
    <x v="4"/>
    <s v="February"/>
    <d v="2021-02-01T00:00:00"/>
    <s v="Post-COVID"/>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n v="2"/>
  </r>
  <r>
    <s v="Rural"/>
    <x v="5"/>
    <s v="May"/>
    <d v="2015-05-01T00:00:00"/>
    <s v="Pre-COVID"/>
    <n v="123.5"/>
    <n v="127.1"/>
    <n v="117.3"/>
    <n v="127.7"/>
    <n v="112.5"/>
    <n v="134.1"/>
    <n v="128.5"/>
    <n v="124.3"/>
    <n v="97.6"/>
    <n v="120.7"/>
    <n v="120.2"/>
    <n v="129.80000000000001"/>
    <n v="124.4"/>
    <n v="126.7"/>
    <n v="127.3"/>
    <n v="124.1"/>
    <n v="126.8"/>
    <n v="141"/>
    <n v="121.9"/>
    <n v="121.5"/>
    <n v="119.4"/>
    <n v="113.3"/>
    <n v="116.7"/>
    <n v="120.5"/>
    <n v="112.3"/>
    <n v="116.9"/>
    <n v="122.4"/>
    <n v="5"/>
  </r>
  <r>
    <s v="Urban"/>
    <x v="5"/>
    <s v="May"/>
    <d v="2015-05-01T00:00:00"/>
    <s v="Pre-COVID"/>
    <n v="123.8"/>
    <n v="129.69999999999999"/>
    <n v="111.3"/>
    <n v="126.6"/>
    <n v="105.2"/>
    <n v="130.80000000000001"/>
    <n v="135.6"/>
    <n v="142.6"/>
    <n v="90.8"/>
    <n v="128.80000000000001"/>
    <n v="117.7"/>
    <n v="129.9"/>
    <n v="126.1"/>
    <n v="131.30000000000001"/>
    <n v="122.4"/>
    <n v="117.4"/>
    <n v="121.6"/>
    <n v="119.6"/>
    <n v="114.9"/>
    <n v="118.7"/>
    <n v="114.9"/>
    <n v="110.8"/>
    <n v="116"/>
    <n v="122"/>
    <n v="112.4"/>
    <n v="115.2"/>
    <n v="120.7"/>
    <n v="5"/>
  </r>
  <r>
    <s v="Rural+Urban"/>
    <x v="4"/>
    <s v="January"/>
    <d v="2021-01-01T00:00:00"/>
    <s v="Post-COVID"/>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n v="1"/>
  </r>
  <r>
    <s v="Rural"/>
    <x v="5"/>
    <s v="June"/>
    <d v="2015-06-01T00:00:00"/>
    <s v="Pre-COVID"/>
    <n v="124.1"/>
    <n v="130.4"/>
    <n v="122.1"/>
    <n v="128.69999999999999"/>
    <n v="114.1"/>
    <n v="133.19999999999999"/>
    <n v="135.19999999999999"/>
    <n v="131.9"/>
    <n v="96.3"/>
    <n v="123"/>
    <n v="121.1"/>
    <n v="131.19999999999999"/>
    <n v="126.6"/>
    <n v="128.19999999999999"/>
    <n v="128.4"/>
    <n v="125.1"/>
    <n v="128"/>
    <n v="141"/>
    <n v="122.6"/>
    <n v="122.8"/>
    <n v="120.4"/>
    <n v="114.2"/>
    <n v="117.9"/>
    <n v="122"/>
    <n v="113"/>
    <n v="117.9"/>
    <n v="124.1"/>
    <n v="6"/>
  </r>
  <r>
    <s v="Urban"/>
    <x v="5"/>
    <s v="June"/>
    <d v="2015-06-01T00:00:00"/>
    <s v="Pre-COVID"/>
    <n v="123.6"/>
    <n v="134.4"/>
    <n v="120.9"/>
    <n v="127.3"/>
    <n v="106"/>
    <n v="132.30000000000001"/>
    <n v="146.69999999999999"/>
    <n v="148.1"/>
    <n v="89.8"/>
    <n v="130.5"/>
    <n v="118"/>
    <n v="130.5"/>
    <n v="128.5"/>
    <n v="132.1"/>
    <n v="123.2"/>
    <n v="117.6"/>
    <n v="122.3"/>
    <n v="119"/>
    <n v="115.1"/>
    <n v="119.2"/>
    <n v="115.4"/>
    <n v="111.7"/>
    <n v="116.2"/>
    <n v="123.8"/>
    <n v="112.5"/>
    <n v="116"/>
    <n v="121.7"/>
    <n v="6"/>
  </r>
  <r>
    <s v="Rural+Urban"/>
    <x v="6"/>
    <s v="December"/>
    <d v="2020-12-01T00:00:00"/>
    <s v="Post-COVID"/>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n v="12"/>
  </r>
  <r>
    <s v="Rural"/>
    <x v="5"/>
    <s v="July"/>
    <d v="2015-07-01T00:00:00"/>
    <s v="Pre-COVID"/>
    <n v="124"/>
    <n v="131.5"/>
    <n v="122"/>
    <n v="128.69999999999999"/>
    <n v="113.5"/>
    <n v="133.30000000000001"/>
    <n v="140.80000000000001"/>
    <n v="133.80000000000001"/>
    <n v="94.1"/>
    <n v="123.4"/>
    <n v="121"/>
    <n v="131.69999999999999"/>
    <n v="127.5"/>
    <n v="129.4"/>
    <n v="128.80000000000001"/>
    <n v="125.5"/>
    <n v="128.30000000000001"/>
    <n v="141"/>
    <n v="123"/>
    <n v="123"/>
    <n v="120.8"/>
    <n v="114.1"/>
    <n v="118"/>
    <n v="122.9"/>
    <n v="112.7"/>
    <n v="118.1"/>
    <n v="124.7"/>
    <n v="7"/>
  </r>
  <r>
    <s v="Urban"/>
    <x v="5"/>
    <s v="July"/>
    <d v="2015-07-01T00:00:00"/>
    <s v="Pre-COVID"/>
    <n v="123.2"/>
    <n v="134.30000000000001"/>
    <n v="119.5"/>
    <n v="127.7"/>
    <n v="106.3"/>
    <n v="132.80000000000001"/>
    <n v="153.5"/>
    <n v="149.5"/>
    <n v="85.7"/>
    <n v="131.5"/>
    <n v="118.3"/>
    <n v="131.1"/>
    <n v="129.5"/>
    <n v="133.1"/>
    <n v="123.5"/>
    <n v="117.9"/>
    <n v="122.7"/>
    <n v="119.9"/>
    <n v="115.3"/>
    <n v="119.5"/>
    <n v="116"/>
    <n v="111.5"/>
    <n v="116.6"/>
    <n v="125.4"/>
    <n v="111.7"/>
    <n v="116.3"/>
    <n v="122.4"/>
    <n v="7"/>
  </r>
  <r>
    <s v="Rural+Urban"/>
    <x v="6"/>
    <s v="November"/>
    <d v="2020-11-01T00:00:00"/>
    <s v="Post-COVID"/>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n v="11"/>
  </r>
  <r>
    <s v="Rural"/>
    <x v="5"/>
    <s v="August"/>
    <d v="2015-08-01T00:00:00"/>
    <s v="Pre-COVID"/>
    <n v="124.7"/>
    <n v="131.30000000000001"/>
    <n v="121.3"/>
    <n v="128.80000000000001"/>
    <n v="114"/>
    <n v="134.19999999999999"/>
    <n v="153.6"/>
    <n v="137.9"/>
    <n v="93.1"/>
    <n v="123.9"/>
    <n v="121.5"/>
    <n v="132.5"/>
    <n v="129.80000000000001"/>
    <n v="130.1"/>
    <n v="129.5"/>
    <n v="126.3"/>
    <n v="129"/>
    <n v="141"/>
    <n v="123.8"/>
    <n v="123.7"/>
    <n v="121.1"/>
    <n v="113.6"/>
    <n v="118.5"/>
    <n v="123.6"/>
    <n v="112.5"/>
    <n v="118.2"/>
    <n v="126.1"/>
    <n v="8"/>
  </r>
  <r>
    <s v="Urban"/>
    <x v="5"/>
    <s v="August"/>
    <d v="2015-08-01T00:00:00"/>
    <s v="Pre-COVID"/>
    <n v="123.1"/>
    <n v="131.69999999999999"/>
    <n v="118.1"/>
    <n v="128"/>
    <n v="106.8"/>
    <n v="130.1"/>
    <n v="165.5"/>
    <n v="156"/>
    <n v="85.3"/>
    <n v="132.69999999999999"/>
    <n v="118.8"/>
    <n v="131.69999999999999"/>
    <n v="131.1"/>
    <n v="134.19999999999999"/>
    <n v="123.7"/>
    <n v="118.2"/>
    <n v="122.9"/>
    <n v="120.9"/>
    <n v="115.3"/>
    <n v="120"/>
    <n v="116.6"/>
    <n v="109.9"/>
    <n v="117.2"/>
    <n v="126.2"/>
    <n v="112"/>
    <n v="116.2"/>
    <n v="123.2"/>
    <n v="8"/>
  </r>
  <r>
    <s v="Rural+Urban"/>
    <x v="6"/>
    <s v="October"/>
    <d v="2020-10-01T00:00:00"/>
    <s v="Post-COVID"/>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n v="10"/>
  </r>
  <r>
    <s v="Rural"/>
    <x v="5"/>
    <s v="September"/>
    <d v="2015-09-01T00:00:00"/>
    <s v="Pre-COVID"/>
    <n v="125.1"/>
    <n v="131.1"/>
    <n v="120.7"/>
    <n v="129.19999999999999"/>
    <n v="114.7"/>
    <n v="132.30000000000001"/>
    <n v="158.9"/>
    <n v="142.1"/>
    <n v="92.5"/>
    <n v="125.4"/>
    <n v="121.9"/>
    <n v="132.69999999999999"/>
    <n v="131"/>
    <n v="131"/>
    <n v="130.4"/>
    <n v="126.8"/>
    <n v="129.9"/>
    <n v="141"/>
    <n v="123.7"/>
    <n v="124.5"/>
    <n v="121.4"/>
    <n v="113.8"/>
    <n v="119.6"/>
    <n v="124.5"/>
    <n v="113.7"/>
    <n v="118.8"/>
    <n v="127"/>
    <n v="9"/>
  </r>
  <r>
    <s v="Urban"/>
    <x v="5"/>
    <s v="September"/>
    <d v="2015-09-01T00:00:00"/>
    <s v="Pre-COVID"/>
    <n v="123.4"/>
    <n v="129"/>
    <n v="115.6"/>
    <n v="128.30000000000001"/>
    <n v="107"/>
    <n v="124"/>
    <n v="168.5"/>
    <n v="165.4"/>
    <n v="86.3"/>
    <n v="134.4"/>
    <n v="119.1"/>
    <n v="132.30000000000001"/>
    <n v="131.5"/>
    <n v="134.69999999999999"/>
    <n v="124"/>
    <n v="118.6"/>
    <n v="123.2"/>
    <n v="121.6"/>
    <n v="115.1"/>
    <n v="120.4"/>
    <n v="117.1"/>
    <n v="109.1"/>
    <n v="117.3"/>
    <n v="126.5"/>
    <n v="112.9"/>
    <n v="116.2"/>
    <n v="123.5"/>
    <n v="9"/>
  </r>
  <r>
    <s v="Rural+Urban"/>
    <x v="6"/>
    <s v="September"/>
    <d v="2020-09-01T00:00:00"/>
    <s v="Post-COVID"/>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n v="9"/>
  </r>
  <r>
    <s v="Rural"/>
    <x v="5"/>
    <s v="October"/>
    <d v="2015-10-01T00:00:00"/>
    <s v="Pre-COVID"/>
    <n v="125.6"/>
    <n v="130.4"/>
    <n v="120.8"/>
    <n v="129.4"/>
    <n v="115.8"/>
    <n v="133.19999999999999"/>
    <n v="157.69999999999999"/>
    <n v="154.19999999999999"/>
    <n v="93.7"/>
    <n v="126.6"/>
    <n v="122.3"/>
    <n v="133.1"/>
    <n v="131.80000000000001"/>
    <n v="131.5"/>
    <n v="131.1"/>
    <n v="127.3"/>
    <n v="130.6"/>
    <n v="141"/>
    <n v="124.4"/>
    <n v="125.1"/>
    <n v="122"/>
    <n v="113.8"/>
    <n v="120.1"/>
    <n v="125.1"/>
    <n v="114.2"/>
    <n v="119.2"/>
    <n v="127.7"/>
    <n v="10"/>
  </r>
  <r>
    <s v="Urban"/>
    <x v="5"/>
    <s v="October"/>
    <d v="2015-10-01T00:00:00"/>
    <s v="Pre-COVID"/>
    <n v="123.6"/>
    <n v="128.6"/>
    <n v="115.9"/>
    <n v="128.5"/>
    <n v="109"/>
    <n v="124.1"/>
    <n v="165.8"/>
    <n v="187.2"/>
    <n v="89.4"/>
    <n v="135.80000000000001"/>
    <n v="119.4"/>
    <n v="132.9"/>
    <n v="132.6"/>
    <n v="135.30000000000001"/>
    <n v="124.4"/>
    <n v="118.8"/>
    <n v="123.6"/>
    <n v="122.4"/>
    <n v="114.9"/>
    <n v="120.7"/>
    <n v="117.7"/>
    <n v="109.3"/>
    <n v="117.7"/>
    <n v="126.5"/>
    <n v="113.5"/>
    <n v="116.5"/>
    <n v="124.2"/>
    <n v="10"/>
  </r>
  <r>
    <s v="Rural+Urban"/>
    <x v="6"/>
    <s v="August"/>
    <d v="2020-08-01T00:00:00"/>
    <s v="Post-COVID"/>
    <n v="148.9"/>
    <n v="190.9"/>
    <n v="150.80000000000001"/>
    <n v="153.30000000000001"/>
    <n v="137.4"/>
    <n v="150.4"/>
    <n v="178.1"/>
    <n v="150.4"/>
    <n v="115.1"/>
    <n v="160"/>
    <n v="140.6"/>
    <n v="162.30000000000001"/>
    <n v="157"/>
    <n v="182.6"/>
    <n v="153.1"/>
    <n v="143.4"/>
    <n v="151.69999999999999"/>
    <n v="155.5"/>
    <n v="143"/>
    <n v="148.4"/>
    <n v="155"/>
    <n v="138.5"/>
    <n v="146"/>
    <n v="158.5"/>
    <n v="154.30000000000001"/>
    <n v="149"/>
    <n v="153.9"/>
    <n v="8"/>
  </r>
  <r>
    <s v="Rural"/>
    <x v="5"/>
    <s v="November"/>
    <d v="2015-11-01T00:00:00"/>
    <s v="Pre-COVID"/>
    <n v="126.1"/>
    <n v="130.6"/>
    <n v="121.7"/>
    <n v="129.5"/>
    <n v="117.8"/>
    <n v="132.1"/>
    <n v="155.19999999999999"/>
    <n v="160.80000000000001"/>
    <n v="94.5"/>
    <n v="128.30000000000001"/>
    <n v="123.1"/>
    <n v="134.19999999999999"/>
    <n v="132.4"/>
    <n v="132.19999999999999"/>
    <n v="132.1"/>
    <n v="128.19999999999999"/>
    <n v="131.5"/>
    <n v="141"/>
    <n v="125.6"/>
    <n v="125.6"/>
    <n v="122.6"/>
    <n v="114"/>
    <n v="120.9"/>
    <n v="125.8"/>
    <n v="114.2"/>
    <n v="119.6"/>
    <n v="128.30000000000001"/>
    <n v="11"/>
  </r>
  <r>
    <s v="Urban"/>
    <x v="5"/>
    <s v="November"/>
    <d v="2015-11-01T00:00:00"/>
    <s v="Pre-COVID"/>
    <n v="124"/>
    <n v="129.80000000000001"/>
    <n v="121.5"/>
    <n v="128.6"/>
    <n v="110"/>
    <n v="123.7"/>
    <n v="164.6"/>
    <n v="191.6"/>
    <n v="90.8"/>
    <n v="137.1"/>
    <n v="119.8"/>
    <n v="133.69999999999999"/>
    <n v="133.30000000000001"/>
    <n v="137.6"/>
    <n v="125"/>
    <n v="119.3"/>
    <n v="124.2"/>
    <n v="122.9"/>
    <n v="115.1"/>
    <n v="121"/>
    <n v="118.1"/>
    <n v="109.3"/>
    <n v="117.9"/>
    <n v="126.6"/>
    <n v="113.3"/>
    <n v="116.6"/>
    <n v="124.6"/>
    <n v="11"/>
  </r>
  <r>
    <s v="Rural+Urban"/>
    <x v="6"/>
    <s v="July"/>
    <d v="2020-07-01T00:00:00"/>
    <s v="Post-COVID"/>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7"/>
  </r>
  <r>
    <s v="Rural"/>
    <x v="5"/>
    <s v="December"/>
    <d v="2015-12-01T00:00:00"/>
    <s v="Pre-COVID"/>
    <n v="126.3"/>
    <n v="131.30000000000001"/>
    <n v="123.3"/>
    <n v="129.80000000000001"/>
    <n v="118.3"/>
    <n v="131.6"/>
    <n v="145.5"/>
    <n v="162.1"/>
    <n v="95.4"/>
    <n v="128.9"/>
    <n v="123.3"/>
    <n v="135.1"/>
    <n v="131.4"/>
    <n v="133.1"/>
    <n v="132.5"/>
    <n v="128.5"/>
    <n v="131.9"/>
    <n v="141"/>
    <n v="125.7"/>
    <n v="126"/>
    <n v="123.1"/>
    <n v="114"/>
    <n v="121.6"/>
    <n v="125.6"/>
    <n v="114.1"/>
    <n v="119.8"/>
    <n v="127.9"/>
    <n v="12"/>
  </r>
  <r>
    <s v="Urban"/>
    <x v="5"/>
    <s v="December"/>
    <d v="2015-12-01T00:00:00"/>
    <s v="Pre-COVID"/>
    <n v="124.3"/>
    <n v="131.69999999999999"/>
    <n v="127.1"/>
    <n v="128.6"/>
    <n v="110"/>
    <n v="120.8"/>
    <n v="149"/>
    <n v="190.1"/>
    <n v="92.7"/>
    <n v="138.6"/>
    <n v="120.2"/>
    <n v="134.19999999999999"/>
    <n v="131.5"/>
    <n v="138.19999999999999"/>
    <n v="125.4"/>
    <n v="119.5"/>
    <n v="124.5"/>
    <n v="122.4"/>
    <n v="116"/>
    <n v="121"/>
    <n v="118.6"/>
    <n v="109.3"/>
    <n v="118.1"/>
    <n v="126.6"/>
    <n v="113.2"/>
    <n v="116.7"/>
    <n v="124"/>
    <n v="12"/>
  </r>
  <r>
    <s v="Rural+Urban"/>
    <x v="6"/>
    <s v="June"/>
    <d v="2020-06-01T00:00:00"/>
    <s v="Post-COVID"/>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6"/>
  </r>
  <r>
    <s v="Rural"/>
    <x v="7"/>
    <s v="January"/>
    <d v="2016-01-01T00:00:00"/>
    <s v="Pre-COVID"/>
    <n v="126.8"/>
    <n v="133.19999999999999"/>
    <n v="126.5"/>
    <n v="130.30000000000001"/>
    <n v="118.9"/>
    <n v="131.6"/>
    <n v="140.1"/>
    <n v="163.80000000000001"/>
    <n v="97.7"/>
    <n v="129.6"/>
    <n v="124.3"/>
    <n v="135.9"/>
    <n v="131.4"/>
    <n v="133.6"/>
    <n v="133.19999999999999"/>
    <n v="128.9"/>
    <n v="132.6"/>
    <n v="141"/>
    <n v="126.2"/>
    <n v="126.6"/>
    <n v="123.7"/>
    <n v="113.6"/>
    <n v="121.4"/>
    <n v="126.2"/>
    <n v="114.9"/>
    <n v="120.1"/>
    <n v="128.1"/>
    <n v="1"/>
  </r>
  <r>
    <s v="Urban"/>
    <x v="7"/>
    <s v="January"/>
    <d v="2016-01-01T00:00:00"/>
    <s v="Pre-COVID"/>
    <n v="124.7"/>
    <n v="135.9"/>
    <n v="132"/>
    <n v="129.19999999999999"/>
    <n v="109.7"/>
    <n v="119"/>
    <n v="144.1"/>
    <n v="184.2"/>
    <n v="96.7"/>
    <n v="139.5"/>
    <n v="120.5"/>
    <n v="134.69999999999999"/>
    <n v="131.19999999999999"/>
    <n v="139.5"/>
    <n v="125.8"/>
    <n v="119.8"/>
    <n v="124.9"/>
    <n v="123.4"/>
    <n v="116.9"/>
    <n v="121.6"/>
    <n v="119.1"/>
    <n v="108.9"/>
    <n v="118.5"/>
    <n v="126.4"/>
    <n v="114"/>
    <n v="116.8"/>
    <n v="124.2"/>
    <n v="1"/>
  </r>
  <r>
    <s v="Rural+Urban"/>
    <x v="6"/>
    <s v="May"/>
    <d v="2020-05-01T00:00:00"/>
    <s v="Post-COVID"/>
    <n v="135.9"/>
    <n v="144.19999999999999"/>
    <n v="135.5"/>
    <n v="144.19999999999999"/>
    <n v="135.5"/>
    <n v="141"/>
    <n v="135.5"/>
    <n v="141"/>
    <n v="120.5"/>
    <n v="141"/>
    <n v="144.19999999999999"/>
    <n v="135.5"/>
    <n v="141"/>
    <n v="144.19999999999999"/>
    <n v="135.5"/>
    <n v="141"/>
    <n v="135.5"/>
    <n v="141"/>
    <n v="120.5"/>
    <n v="144.19999999999999"/>
    <n v="135.5"/>
    <n v="141"/>
    <n v="135.5"/>
    <n v="141"/>
    <n v="144.19999999999999"/>
    <n v="135.5"/>
    <n v="141"/>
    <n v="5"/>
  </r>
  <r>
    <s v="Rural"/>
    <x v="7"/>
    <s v="February"/>
    <d v="2016-02-01T00:00:00"/>
    <s v="Pre-COVID"/>
    <n v="127.1"/>
    <n v="133.69999999999999"/>
    <n v="127.7"/>
    <n v="130.69999999999999"/>
    <n v="118.5"/>
    <n v="130.4"/>
    <n v="130.9"/>
    <n v="162.80000000000001"/>
    <n v="98.7"/>
    <n v="130.6"/>
    <n v="124.8"/>
    <n v="136.4"/>
    <n v="130.30000000000001"/>
    <n v="134.4"/>
    <n v="133.9"/>
    <n v="129.80000000000001"/>
    <n v="133.4"/>
    <n v="141"/>
    <n v="127.5"/>
    <n v="127.1"/>
    <n v="124.3"/>
    <n v="113.9"/>
    <n v="122.3"/>
    <n v="127.1"/>
    <n v="116.8"/>
    <n v="120.9"/>
    <n v="127.9"/>
    <n v="2"/>
  </r>
  <r>
    <s v="Urban"/>
    <x v="7"/>
    <s v="February"/>
    <d v="2016-02-01T00:00:00"/>
    <s v="Pre-COVID"/>
    <n v="124.8"/>
    <n v="135.1"/>
    <n v="130.30000000000001"/>
    <n v="129.6"/>
    <n v="108.4"/>
    <n v="118.6"/>
    <n v="129.19999999999999"/>
    <n v="176.4"/>
    <n v="99.1"/>
    <n v="139.69999999999999"/>
    <n v="120.6"/>
    <n v="135.19999999999999"/>
    <n v="129.1"/>
    <n v="140"/>
    <n v="126.2"/>
    <n v="120.1"/>
    <n v="125.3"/>
    <n v="124.4"/>
    <n v="116"/>
    <n v="121.8"/>
    <n v="119.5"/>
    <n v="109.1"/>
    <n v="118.8"/>
    <n v="126.3"/>
    <n v="116.2"/>
    <n v="117.2"/>
    <n v="123.8"/>
    <n v="2"/>
  </r>
  <r>
    <s v="Rural+Urban"/>
    <x v="6"/>
    <s v="April"/>
    <d v="2020-04-01T00:00:00"/>
    <s v="Post-COVID"/>
    <n v="148.69999999999999"/>
    <n v="144.19999999999999"/>
    <n v="148.80000000000001"/>
    <n v="155.6"/>
    <n v="135.1"/>
    <n v="149.9"/>
    <n v="168.6"/>
    <n v="150.4"/>
    <n v="120.3"/>
    <n v="157.1"/>
    <n v="136.80000000000001"/>
    <n v="135.5"/>
    <n v="151.4"/>
    <n v="144.19999999999999"/>
    <n v="135.5"/>
    <n v="141"/>
    <n v="135.5"/>
    <n v="155.6"/>
    <n v="144.1"/>
    <n v="144.19999999999999"/>
    <n v="150.69999999999999"/>
    <n v="141"/>
    <n v="135.5"/>
    <n v="141"/>
    <n v="144.19999999999999"/>
    <n v="135.5"/>
    <n v="141"/>
    <n v="4"/>
  </r>
  <r>
    <s v="Rural"/>
    <x v="7"/>
    <s v="March"/>
    <d v="2016-03-01T00:00:00"/>
    <s v="Pre-COVID"/>
    <n v="127.3"/>
    <n v="134.4"/>
    <n v="125.1"/>
    <n v="130.5"/>
    <n v="118.3"/>
    <n v="131.69999999999999"/>
    <n v="130.69999999999999"/>
    <n v="161.19999999999999"/>
    <n v="100.4"/>
    <n v="130.80000000000001"/>
    <n v="124.9"/>
    <n v="137"/>
    <n v="130.4"/>
    <n v="135"/>
    <n v="134.4"/>
    <n v="130.19999999999999"/>
    <n v="133.80000000000001"/>
    <n v="141"/>
    <n v="127"/>
    <n v="127.7"/>
    <n v="124.8"/>
    <n v="113.6"/>
    <n v="122.5"/>
    <n v="127.5"/>
    <n v="117.4"/>
    <n v="121.1"/>
    <n v="128"/>
    <n v="3"/>
  </r>
  <r>
    <s v="Urban"/>
    <x v="7"/>
    <s v="March"/>
    <d v="2016-03-01T00:00:00"/>
    <s v="Pre-COVID"/>
    <n v="124.8"/>
    <n v="136.30000000000001"/>
    <n v="123.7"/>
    <n v="129.69999999999999"/>
    <n v="107.9"/>
    <n v="119.9"/>
    <n v="128.1"/>
    <n v="170.3"/>
    <n v="101.8"/>
    <n v="140.1"/>
    <n v="120.7"/>
    <n v="135.4"/>
    <n v="128.9"/>
    <n v="140.6"/>
    <n v="126.4"/>
    <n v="120.3"/>
    <n v="125.5"/>
    <n v="124.9"/>
    <n v="114.8"/>
    <n v="122.3"/>
    <n v="119.7"/>
    <n v="108.5"/>
    <n v="119.1"/>
    <n v="126.4"/>
    <n v="117.1"/>
    <n v="117.3"/>
    <n v="123.8"/>
    <n v="3"/>
  </r>
  <r>
    <s v="Rural+Urban"/>
    <x v="6"/>
    <s v="March"/>
    <d v="2020-03-01T00:00:00"/>
    <s v="Post-COVID"/>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n v="3"/>
  </r>
  <r>
    <s v="Rural"/>
    <x v="7"/>
    <s v="April"/>
    <d v="2016-04-01T00:00:00"/>
    <s v="Pre-COVID"/>
    <n v="127.4"/>
    <n v="135.4"/>
    <n v="123.4"/>
    <n v="131.30000000000001"/>
    <n v="118.2"/>
    <n v="138.1"/>
    <n v="134.1"/>
    <n v="162.69999999999999"/>
    <n v="105"/>
    <n v="131.4"/>
    <n v="125.4"/>
    <n v="137.4"/>
    <n v="131.80000000000001"/>
    <n v="135.5"/>
    <n v="135"/>
    <n v="130.6"/>
    <n v="134.4"/>
    <n v="141"/>
    <n v="127"/>
    <n v="128"/>
    <n v="125.2"/>
    <n v="114.4"/>
    <n v="123.2"/>
    <n v="127.9"/>
    <n v="118.4"/>
    <n v="121.7"/>
    <n v="129"/>
    <n v="4"/>
  </r>
  <r>
    <s v="Urban"/>
    <x v="7"/>
    <s v="April"/>
    <d v="2016-04-01T00:00:00"/>
    <s v="Pre-COVID"/>
    <n v="124.9"/>
    <n v="139.30000000000001"/>
    <n v="119.9"/>
    <n v="130.19999999999999"/>
    <n v="108.9"/>
    <n v="131.1"/>
    <n v="136.80000000000001"/>
    <n v="176.9"/>
    <n v="109.1"/>
    <n v="140.4"/>
    <n v="121.1"/>
    <n v="135.9"/>
    <n v="131.80000000000001"/>
    <n v="141.5"/>
    <n v="126.8"/>
    <n v="120.5"/>
    <n v="125.8"/>
    <n v="125.6"/>
    <n v="114.6"/>
    <n v="122.8"/>
    <n v="120"/>
    <n v="110"/>
    <n v="119.5"/>
    <n v="127.6"/>
    <n v="117.6"/>
    <n v="118.2"/>
    <n v="125.3"/>
    <n v="4"/>
  </r>
  <r>
    <s v="Rural+Urban"/>
    <x v="6"/>
    <s v="February"/>
    <d v="2020-02-01T00:00:00"/>
    <s v="Pre-COVID"/>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n v="2"/>
  </r>
  <r>
    <s v="Rural"/>
    <x v="7"/>
    <s v="May"/>
    <d v="2016-05-01T00:00:00"/>
    <s v="Pre-COVID"/>
    <n v="127.6"/>
    <n v="137.5"/>
    <n v="124.4"/>
    <n v="132.4"/>
    <n v="118.2"/>
    <n v="138.1"/>
    <n v="141.80000000000001"/>
    <n v="166"/>
    <n v="107.5"/>
    <n v="132.19999999999999"/>
    <n v="126.1"/>
    <n v="138.30000000000001"/>
    <n v="133.6"/>
    <n v="136"/>
    <n v="135.4"/>
    <n v="131.1"/>
    <n v="134.80000000000001"/>
    <n v="141"/>
    <n v="127.4"/>
    <n v="128.5"/>
    <n v="125.8"/>
    <n v="115.1"/>
    <n v="123.6"/>
    <n v="129.1"/>
    <n v="119.7"/>
    <n v="122.5"/>
    <n v="130.30000000000001"/>
    <n v="5"/>
  </r>
  <r>
    <s v="Urban"/>
    <x v="7"/>
    <s v="May"/>
    <d v="2016-05-01T00:00:00"/>
    <s v="Pre-COVID"/>
    <n v="125"/>
    <n v="142.1"/>
    <n v="127"/>
    <n v="130.4"/>
    <n v="109.6"/>
    <n v="133.5"/>
    <n v="151.4"/>
    <n v="182.8"/>
    <n v="111.1"/>
    <n v="141.5"/>
    <n v="121.5"/>
    <n v="136.30000000000001"/>
    <n v="134.6"/>
    <n v="142.19999999999999"/>
    <n v="127.2"/>
    <n v="120.7"/>
    <n v="126.2"/>
    <n v="126"/>
    <n v="115"/>
    <n v="123.2"/>
    <n v="120.3"/>
    <n v="110.7"/>
    <n v="119.8"/>
    <n v="128"/>
    <n v="118.5"/>
    <n v="118.7"/>
    <n v="126.6"/>
    <n v="5"/>
  </r>
  <r>
    <s v="Rural+Urban"/>
    <x v="6"/>
    <s v="January"/>
    <d v="2020-01-01T00:00:00"/>
    <s v="Pre-COVID"/>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n v="1"/>
  </r>
  <r>
    <s v="Rural"/>
    <x v="7"/>
    <s v="June"/>
    <d v="2016-06-01T00:00:00"/>
    <s v="Pre-COVID"/>
    <n v="128.6"/>
    <n v="138.6"/>
    <n v="126.6"/>
    <n v="133.6"/>
    <n v="118.6"/>
    <n v="137.4"/>
    <n v="152.5"/>
    <n v="169.2"/>
    <n v="108.8"/>
    <n v="133.1"/>
    <n v="126.4"/>
    <n v="139.19999999999999"/>
    <n v="136"/>
    <n v="137.19999999999999"/>
    <n v="136.30000000000001"/>
    <n v="131.6"/>
    <n v="135.6"/>
    <n v="141"/>
    <n v="128"/>
    <n v="129.30000000000001"/>
    <n v="126.2"/>
    <n v="116.3"/>
    <n v="124.1"/>
    <n v="130.19999999999999"/>
    <n v="119.9"/>
    <n v="123.3"/>
    <n v="131.9"/>
    <n v="6"/>
  </r>
  <r>
    <s v="Urban"/>
    <x v="7"/>
    <s v="June"/>
    <d v="2016-06-01T00:00:00"/>
    <s v="Pre-COVID"/>
    <n v="125.9"/>
    <n v="143.9"/>
    <n v="130.9"/>
    <n v="131"/>
    <n v="110.2"/>
    <n v="135.5"/>
    <n v="173.7"/>
    <n v="184.4"/>
    <n v="112"/>
    <n v="142.80000000000001"/>
    <n v="121.6"/>
    <n v="136.9"/>
    <n v="138.19999999999999"/>
    <n v="142.69999999999999"/>
    <n v="127.6"/>
    <n v="121.1"/>
    <n v="126.6"/>
    <n v="125.5"/>
    <n v="115.5"/>
    <n v="123.2"/>
    <n v="120.6"/>
    <n v="112.3"/>
    <n v="119.9"/>
    <n v="129.30000000000001"/>
    <n v="118.8"/>
    <n v="119.6"/>
    <n v="128.1"/>
    <n v="6"/>
  </r>
  <r>
    <s v="Rural+Urban"/>
    <x v="8"/>
    <s v="December"/>
    <d v="2019-12-01T00:00:00"/>
    <s v="Pre-COVID"/>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n v="12"/>
  </r>
  <r>
    <s v="Rural"/>
    <x v="7"/>
    <s v="July"/>
    <d v="2016-07-01T00:00:00"/>
    <s v="Pre-COVID"/>
    <n v="129.30000000000001"/>
    <n v="139.5"/>
    <n v="129.6"/>
    <n v="134.5"/>
    <n v="119.5"/>
    <n v="138.5"/>
    <n v="158.19999999999999"/>
    <n v="171.8"/>
    <n v="110.3"/>
    <n v="134.30000000000001"/>
    <n v="127.3"/>
    <n v="139.9"/>
    <n v="137.6"/>
    <n v="138"/>
    <n v="137.19999999999999"/>
    <n v="132.19999999999999"/>
    <n v="136.5"/>
    <n v="141"/>
    <n v="128.19999999999999"/>
    <n v="130"/>
    <n v="126.7"/>
    <n v="116.4"/>
    <n v="125.2"/>
    <n v="130.80000000000001"/>
    <n v="120.9"/>
    <n v="123.8"/>
    <n v="133"/>
    <n v="7"/>
  </r>
  <r>
    <s v="Urban"/>
    <x v="7"/>
    <s v="July"/>
    <d v="2016-07-01T00:00:00"/>
    <s v="Pre-COVID"/>
    <n v="126.8"/>
    <n v="144.19999999999999"/>
    <n v="136.6"/>
    <n v="131.80000000000001"/>
    <n v="111"/>
    <n v="137"/>
    <n v="179.5"/>
    <n v="188.4"/>
    <n v="113.3"/>
    <n v="143.9"/>
    <n v="121.7"/>
    <n v="137.5"/>
    <n v="139.80000000000001"/>
    <n v="142.9"/>
    <n v="127.9"/>
    <n v="121.1"/>
    <n v="126.9"/>
    <n v="126.4"/>
    <n v="115.5"/>
    <n v="123.5"/>
    <n v="120.9"/>
    <n v="111.7"/>
    <n v="120.3"/>
    <n v="130.80000000000001"/>
    <n v="120"/>
    <n v="119.9"/>
    <n v="129"/>
    <n v="7"/>
  </r>
  <r>
    <s v="Rural+Urban"/>
    <x v="8"/>
    <s v="November"/>
    <d v="2019-11-01T00:00:00"/>
    <s v="Pre-COVID"/>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n v="11"/>
  </r>
  <r>
    <s v="Rural"/>
    <x v="7"/>
    <s v="August"/>
    <d v="2016-08-01T00:00:00"/>
    <s v="Pre-COVID"/>
    <n v="130.1"/>
    <n v="138.80000000000001"/>
    <n v="130.30000000000001"/>
    <n v="135.30000000000001"/>
    <n v="119.9"/>
    <n v="140.19999999999999"/>
    <n v="156.9"/>
    <n v="172.2"/>
    <n v="112.1"/>
    <n v="134.9"/>
    <n v="128.1"/>
    <n v="140.69999999999999"/>
    <n v="138"/>
    <n v="138.9"/>
    <n v="137.80000000000001"/>
    <n v="133"/>
    <n v="137.1"/>
    <n v="141"/>
    <n v="129.1"/>
    <n v="130.6"/>
    <n v="127"/>
    <n v="116"/>
    <n v="125.5"/>
    <n v="131.9"/>
    <n v="122"/>
    <n v="124.2"/>
    <n v="133.5"/>
    <n v="8"/>
  </r>
  <r>
    <s v="Urban"/>
    <x v="7"/>
    <s v="August"/>
    <d v="2016-08-01T00:00:00"/>
    <s v="Pre-COVID"/>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n v="8"/>
  </r>
  <r>
    <s v="Rural+Urban"/>
    <x v="8"/>
    <s v="October"/>
    <d v="2019-10-01T00:00:00"/>
    <s v="Pre-COVID"/>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n v="10"/>
  </r>
  <r>
    <s v="Rural"/>
    <x v="7"/>
    <s v="September"/>
    <d v="2016-09-01T00:00:00"/>
    <s v="Pre-COVID"/>
    <n v="130.80000000000001"/>
    <n v="138.19999999999999"/>
    <n v="130.5"/>
    <n v="135.5"/>
    <n v="120.2"/>
    <n v="139.19999999999999"/>
    <n v="149.5"/>
    <n v="170.4"/>
    <n v="113.1"/>
    <n v="135.80000000000001"/>
    <n v="128.80000000000001"/>
    <n v="141.5"/>
    <n v="137.19999999999999"/>
    <n v="139.9"/>
    <n v="138.5"/>
    <n v="133.5"/>
    <n v="137.80000000000001"/>
    <n v="141"/>
    <n v="129.69999999999999"/>
    <n v="131.1"/>
    <n v="127.8"/>
    <n v="117"/>
    <n v="125.7"/>
    <n v="132.19999999999999"/>
    <n v="122.8"/>
    <n v="124.9"/>
    <n v="133.4"/>
    <n v="9"/>
  </r>
  <r>
    <s v="Urban"/>
    <x v="7"/>
    <s v="September"/>
    <d v="2016-09-01T00:00:00"/>
    <s v="Pre-COVID"/>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n v="9"/>
  </r>
  <r>
    <s v="Rural+Urban"/>
    <x v="8"/>
    <s v="September"/>
    <d v="2019-09-01T00:00:00"/>
    <s v="Pre-COVID"/>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n v="9"/>
  </r>
  <r>
    <s v="Rural"/>
    <x v="7"/>
    <s v="October"/>
    <d v="2016-10-01T00:00:00"/>
    <s v="Pre-COVID"/>
    <n v="131.30000000000001"/>
    <n v="137.6"/>
    <n v="130.1"/>
    <n v="136"/>
    <n v="120.8"/>
    <n v="138.4"/>
    <n v="149.19999999999999"/>
    <n v="170.2"/>
    <n v="113.4"/>
    <n v="136.30000000000001"/>
    <n v="128.69999999999999"/>
    <n v="142.4"/>
    <n v="137.4"/>
    <n v="140.9"/>
    <n v="139.6"/>
    <n v="134.30000000000001"/>
    <n v="138.80000000000001"/>
    <n v="141"/>
    <n v="129.80000000000001"/>
    <n v="131.80000000000001"/>
    <n v="128.69999999999999"/>
    <n v="117.8"/>
    <n v="126.5"/>
    <n v="133"/>
    <n v="123"/>
    <n v="125.7"/>
    <n v="133.80000000000001"/>
    <n v="10"/>
  </r>
  <r>
    <s v="Urban"/>
    <x v="7"/>
    <s v="October"/>
    <d v="2016-10-01T00:00:00"/>
    <s v="Pre-COVID"/>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n v="10"/>
  </r>
  <r>
    <s v="Rural+Urban"/>
    <x v="8"/>
    <s v="August"/>
    <d v="2019-08-01T00:00:00"/>
    <s v="Pre-COVID"/>
    <n v="140.1"/>
    <n v="160.6"/>
    <n v="138.5"/>
    <n v="144.69999999999999"/>
    <n v="122.9"/>
    <n v="149.4"/>
    <n v="167.4"/>
    <n v="130.9"/>
    <n v="112"/>
    <n v="142.6"/>
    <n v="134.9"/>
    <n v="156.6"/>
    <n v="145.9"/>
    <n v="165.8"/>
    <n v="149.1"/>
    <n v="140.6"/>
    <n v="147.9"/>
    <n v="151.6"/>
    <n v="138.5"/>
    <n v="144.5"/>
    <n v="148.5"/>
    <n v="125.8"/>
    <n v="140.9"/>
    <n v="154.9"/>
    <n v="138.4"/>
    <n v="140.19999999999999"/>
    <n v="145"/>
    <n v="8"/>
  </r>
  <r>
    <s v="Rural"/>
    <x v="7"/>
    <s v="November"/>
    <d v="2016-11-01T00:00:00"/>
    <s v="Pre-COVID"/>
    <n v="132"/>
    <n v="137.4"/>
    <n v="130.6"/>
    <n v="136.19999999999999"/>
    <n v="121.1"/>
    <n v="136.9"/>
    <n v="141.80000000000001"/>
    <n v="170"/>
    <n v="113.4"/>
    <n v="136.80000000000001"/>
    <n v="128.69999999999999"/>
    <n v="143.1"/>
    <n v="136.6"/>
    <n v="141.19999999999999"/>
    <n v="139.9"/>
    <n v="134.5"/>
    <n v="139.19999999999999"/>
    <n v="141"/>
    <n v="130.30000000000001"/>
    <n v="132.1"/>
    <n v="129.1"/>
    <n v="118.2"/>
    <n v="126.9"/>
    <n v="133.69999999999999"/>
    <n v="123.5"/>
    <n v="126.1"/>
    <n v="133.6"/>
    <n v="11"/>
  </r>
  <r>
    <s v="Urban"/>
    <x v="7"/>
    <s v="November"/>
    <d v="2016-11-01T00:00:00"/>
    <s v="Pre-COVID"/>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n v="11"/>
  </r>
  <r>
    <s v="Rural+Urban"/>
    <x v="8"/>
    <s v="July"/>
    <d v="2019-07-01T00:00:00"/>
    <s v="Pre-COVID"/>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n v="7"/>
  </r>
  <r>
    <s v="Rural"/>
    <x v="7"/>
    <s v="December"/>
    <d v="2016-12-01T00:00:00"/>
    <s v="Pre-COVID"/>
    <n v="132.6"/>
    <n v="137.30000000000001"/>
    <n v="131.6"/>
    <n v="136.30000000000001"/>
    <n v="121.6"/>
    <n v="135.6"/>
    <n v="127.5"/>
    <n v="167.9"/>
    <n v="113.8"/>
    <n v="137.5"/>
    <n v="129.1"/>
    <n v="143.6"/>
    <n v="134.69999999999999"/>
    <n v="142.4"/>
    <n v="140.4"/>
    <n v="135.19999999999999"/>
    <n v="139.69999999999999"/>
    <n v="141"/>
    <n v="132"/>
    <n v="132.9"/>
    <n v="129.69999999999999"/>
    <n v="118.6"/>
    <n v="127.3"/>
    <n v="134.19999999999999"/>
    <n v="121.9"/>
    <n v="126.3"/>
    <n v="132.80000000000001"/>
    <n v="12"/>
  </r>
  <r>
    <s v="Urban"/>
    <x v="7"/>
    <s v="December"/>
    <d v="2016-12-01T00:00:00"/>
    <s v="Pre-COVID"/>
    <n v="131.6"/>
    <n v="138.19999999999999"/>
    <n v="134.9"/>
    <n v="133.1"/>
    <n v="113.5"/>
    <n v="129.30000000000001"/>
    <n v="121.1"/>
    <n v="170.3"/>
    <n v="115.5"/>
    <n v="145.5"/>
    <n v="123.1"/>
    <n v="140.9"/>
    <n v="132.80000000000001"/>
    <n v="145"/>
    <n v="130"/>
    <n v="122.2"/>
    <n v="128.80000000000001"/>
    <n v="128.5"/>
    <n v="117.8"/>
    <n v="125"/>
    <n v="122.3"/>
    <n v="113.7"/>
    <n v="121.8"/>
    <n v="132.30000000000001"/>
    <n v="119.9"/>
    <n v="121.4"/>
    <n v="127.6"/>
    <n v="12"/>
  </r>
  <r>
    <s v="Rural+Urban"/>
    <x v="8"/>
    <s v="June"/>
    <d v="2019-06-01T00:00:00"/>
    <s v="Pre-COVID"/>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n v="6"/>
  </r>
  <r>
    <s v="Rural"/>
    <x v="9"/>
    <s v="January"/>
    <d v="2017-01-01T00:00:00"/>
    <s v="Pre-COVID"/>
    <n v="133.1"/>
    <n v="137.80000000000001"/>
    <n v="131.9"/>
    <n v="136.69999999999999"/>
    <n v="122"/>
    <n v="136"/>
    <n v="119.8"/>
    <n v="161.69999999999999"/>
    <n v="114.8"/>
    <n v="136.9"/>
    <n v="129"/>
    <n v="143.9"/>
    <n v="133.69999999999999"/>
    <n v="143.1"/>
    <n v="140.69999999999999"/>
    <n v="135.80000000000001"/>
    <n v="140"/>
    <n v="141"/>
    <n v="132.1"/>
    <n v="133.19999999999999"/>
    <n v="129.9"/>
    <n v="119.1"/>
    <n v="127"/>
    <n v="134.6"/>
    <n v="122.3"/>
    <n v="126.6"/>
    <n v="132.4"/>
    <n v="1"/>
  </r>
  <r>
    <s v="Urban"/>
    <x v="9"/>
    <s v="January"/>
    <d v="2017-01-01T00:00:00"/>
    <s v="Pre-COVID"/>
    <n v="132.19999999999999"/>
    <n v="138.9"/>
    <n v="132.6"/>
    <n v="133.1"/>
    <n v="114"/>
    <n v="129.6"/>
    <n v="118.7"/>
    <n v="155.1"/>
    <n v="117.3"/>
    <n v="144.9"/>
    <n v="123.2"/>
    <n v="141.6"/>
    <n v="132"/>
    <n v="145.6"/>
    <n v="130.19999999999999"/>
    <n v="122.3"/>
    <n v="129"/>
    <n v="129.6"/>
    <n v="118"/>
    <n v="125.1"/>
    <n v="122.6"/>
    <n v="115.2"/>
    <n v="122"/>
    <n v="132.4"/>
    <n v="120.9"/>
    <n v="122.1"/>
    <n v="127.8"/>
    <n v="1"/>
  </r>
  <r>
    <s v="Rural+Urban"/>
    <x v="8"/>
    <s v="May"/>
    <d v="2019-05-01T00:00:00"/>
    <s v="Pre-COVID"/>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n v="5"/>
  </r>
  <r>
    <s v="Rural"/>
    <x v="9"/>
    <s v="February"/>
    <d v="2017-02-01T00:00:00"/>
    <s v="Pre-COVID"/>
    <n v="133.30000000000001"/>
    <n v="138.30000000000001"/>
    <n v="129.30000000000001"/>
    <n v="137.19999999999999"/>
    <n v="122.1"/>
    <n v="138.69999999999999"/>
    <n v="119.1"/>
    <n v="156.9"/>
    <n v="116.2"/>
    <n v="136"/>
    <n v="129.4"/>
    <n v="144.4"/>
    <n v="133.6"/>
    <n v="143.69999999999999"/>
    <n v="140.9"/>
    <n v="135.80000000000001"/>
    <n v="140.19999999999999"/>
    <n v="141"/>
    <n v="133.19999999999999"/>
    <n v="133.6"/>
    <n v="130.1"/>
    <n v="119.5"/>
    <n v="127.7"/>
    <n v="134.9"/>
    <n v="123.2"/>
    <n v="127"/>
    <n v="132.6"/>
    <n v="2"/>
  </r>
  <r>
    <s v="Urban"/>
    <x v="9"/>
    <s v="February"/>
    <d v="2017-02-01T00:00:00"/>
    <s v="Pre-COVID"/>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n v="2"/>
  </r>
  <r>
    <s v="Rural+Urban"/>
    <x v="8"/>
    <s v="March"/>
    <d v="2019-03-01T00:00:00"/>
    <s v="Pre-COVID"/>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n v="3"/>
  </r>
  <r>
    <s v="Rural"/>
    <x v="9"/>
    <s v="March"/>
    <d v="2017-03-01T00:00:00"/>
    <s v="Pre-COVID"/>
    <n v="133.6"/>
    <n v="138.80000000000001"/>
    <n v="128.80000000000001"/>
    <n v="137.19999999999999"/>
    <n v="121.6"/>
    <n v="139.69999999999999"/>
    <n v="119.7"/>
    <n v="148"/>
    <n v="116.9"/>
    <n v="135.6"/>
    <n v="129.80000000000001"/>
    <n v="145.4"/>
    <n v="133.4"/>
    <n v="144.19999999999999"/>
    <n v="141.6"/>
    <n v="136.19999999999999"/>
    <n v="140.80000000000001"/>
    <n v="141"/>
    <n v="134.19999999999999"/>
    <n v="134.1"/>
    <n v="130.6"/>
    <n v="119.8"/>
    <n v="128.30000000000001"/>
    <n v="135.19999999999999"/>
    <n v="123.3"/>
    <n v="127.4"/>
    <n v="132.80000000000001"/>
    <n v="3"/>
  </r>
  <r>
    <s v="Urban"/>
    <x v="9"/>
    <s v="March"/>
    <d v="2017-03-01T00:00:00"/>
    <s v="Pre-COVID"/>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n v="3"/>
  </r>
  <r>
    <s v="Rural+Urban"/>
    <x v="8"/>
    <s v="February"/>
    <d v="2019-02-01T00:00:00"/>
    <s v="Pre-COVID"/>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n v="2"/>
  </r>
  <r>
    <s v="Rural"/>
    <x v="9"/>
    <s v="April"/>
    <d v="2017-04-01T00:00:00"/>
    <s v="Pre-COVID"/>
    <n v="133.19999999999999"/>
    <n v="138.69999999999999"/>
    <n v="127.1"/>
    <n v="137.69999999999999"/>
    <n v="121.3"/>
    <n v="141.80000000000001"/>
    <n v="121.5"/>
    <n v="144.5"/>
    <n v="117.4"/>
    <n v="134.1"/>
    <n v="130"/>
    <n v="145.5"/>
    <n v="133.5"/>
    <n v="144.4"/>
    <n v="142.4"/>
    <n v="136.80000000000001"/>
    <n v="141.6"/>
    <n v="141"/>
    <n v="135"/>
    <n v="134.30000000000001"/>
    <n v="131"/>
    <n v="119.2"/>
    <n v="128.30000000000001"/>
    <n v="135.69999999999999"/>
    <n v="123.7"/>
    <n v="127.5"/>
    <n v="132.9"/>
    <n v="4"/>
  </r>
  <r>
    <s v="Urban"/>
    <x v="9"/>
    <s v="April"/>
    <d v="2017-04-01T00:00:00"/>
    <s v="Pre-COVID"/>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n v="4"/>
  </r>
  <r>
    <s v="Rural+Urban"/>
    <x v="8"/>
    <s v="January"/>
    <d v="2019-01-01T00:00:00"/>
    <s v="Pre-COVID"/>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n v="1"/>
  </r>
  <r>
    <s v="Rural"/>
    <x v="9"/>
    <s v="May"/>
    <d v="2017-05-01T00:00:00"/>
    <s v="Pre-COVID"/>
    <n v="133.1"/>
    <n v="140.30000000000001"/>
    <n v="126.8"/>
    <n v="138.19999999999999"/>
    <n v="120.8"/>
    <n v="140.19999999999999"/>
    <n v="123.8"/>
    <n v="141.80000000000001"/>
    <n v="118.6"/>
    <n v="134"/>
    <n v="130.30000000000001"/>
    <n v="145.80000000000001"/>
    <n v="133.80000000000001"/>
    <n v="145.5"/>
    <n v="142.5"/>
    <n v="137.30000000000001"/>
    <n v="141.80000000000001"/>
    <n v="141"/>
    <n v="135"/>
    <n v="134.9"/>
    <n v="131.4"/>
    <n v="119.4"/>
    <n v="129.4"/>
    <n v="136.30000000000001"/>
    <n v="123.7"/>
    <n v="127.9"/>
    <n v="133.30000000000001"/>
    <n v="5"/>
  </r>
  <r>
    <s v="Urban"/>
    <x v="9"/>
    <s v="May"/>
    <d v="2017-05-01T00:00:00"/>
    <s v="Pre-COVID"/>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n v="5"/>
  </r>
  <r>
    <s v="Rural+Urban"/>
    <x v="10"/>
    <s v="December"/>
    <d v="2018-12-01T00:00:00"/>
    <s v="Pre-COVID"/>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n v="12"/>
  </r>
  <r>
    <s v="Rural"/>
    <x v="9"/>
    <s v="June"/>
    <d v="2017-06-01T00:00:00"/>
    <s v="Pre-COVID"/>
    <n v="133.5"/>
    <n v="143.69999999999999"/>
    <n v="128"/>
    <n v="138.6"/>
    <n v="120.9"/>
    <n v="140.9"/>
    <n v="128.80000000000001"/>
    <n v="140.19999999999999"/>
    <n v="118.9"/>
    <n v="133.5"/>
    <n v="130.4"/>
    <n v="146.5"/>
    <n v="134.9"/>
    <n v="145.80000000000001"/>
    <n v="143.1"/>
    <n v="137.69999999999999"/>
    <n v="142.30000000000001"/>
    <n v="141"/>
    <n v="134.80000000000001"/>
    <n v="135.19999999999999"/>
    <n v="131.30000000000001"/>
    <n v="119.4"/>
    <n v="129.80000000000001"/>
    <n v="136.9"/>
    <n v="124.1"/>
    <n v="128.1"/>
    <n v="133.9"/>
    <n v="6"/>
  </r>
  <r>
    <s v="Urban"/>
    <x v="9"/>
    <s v="June"/>
    <d v="2017-06-01T00:00:00"/>
    <s v="Pre-COVID"/>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n v="6"/>
  </r>
  <r>
    <s v="Rural+Urban"/>
    <x v="10"/>
    <s v="November"/>
    <d v="2018-11-01T00:00:00"/>
    <s v="Pre-COVID"/>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n v="11"/>
  </r>
  <r>
    <s v="Rural"/>
    <x v="9"/>
    <s v="July"/>
    <d v="2017-07-01T00:00:00"/>
    <s v="Pre-COVID"/>
    <n v="134"/>
    <n v="144.19999999999999"/>
    <n v="129.80000000000001"/>
    <n v="139"/>
    <n v="120.9"/>
    <n v="143.9"/>
    <n v="151.5"/>
    <n v="138.1"/>
    <n v="120"/>
    <n v="133.9"/>
    <n v="131.4"/>
    <n v="147.69999999999999"/>
    <n v="138.5"/>
    <n v="147.4"/>
    <n v="144.30000000000001"/>
    <n v="138.1"/>
    <n v="143.5"/>
    <n v="141"/>
    <n v="135.30000000000001"/>
    <n v="136.1"/>
    <n v="132.1"/>
    <n v="119.1"/>
    <n v="130.6"/>
    <n v="138.6"/>
    <n v="124.4"/>
    <n v="128.6"/>
    <n v="136.19999999999999"/>
    <n v="7"/>
  </r>
  <r>
    <s v="Urban"/>
    <x v="9"/>
    <s v="July"/>
    <d v="2017-07-01T00:00:00"/>
    <s v="Pre-COVID"/>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n v="7"/>
  </r>
  <r>
    <s v="Rural+Urban"/>
    <x v="10"/>
    <s v="October"/>
    <d v="2018-10-01T00:00:00"/>
    <s v="Pre-COVID"/>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n v="10"/>
  </r>
  <r>
    <s v="Rural"/>
    <x v="9"/>
    <s v="August"/>
    <d v="2017-08-01T00:00:00"/>
    <s v="Pre-COVID"/>
    <n v="134.80000000000001"/>
    <n v="143.1"/>
    <n v="130"/>
    <n v="139.4"/>
    <n v="120.5"/>
    <n v="148"/>
    <n v="162.9"/>
    <n v="137.4"/>
    <n v="120.8"/>
    <n v="134.69999999999999"/>
    <n v="131.6"/>
    <n v="148.69999999999999"/>
    <n v="140.6"/>
    <n v="149"/>
    <n v="145.30000000000001"/>
    <n v="139.19999999999999"/>
    <n v="144.5"/>
    <n v="141"/>
    <n v="136.4"/>
    <n v="137.30000000000001"/>
    <n v="133"/>
    <n v="120.3"/>
    <n v="131.5"/>
    <n v="140.19999999999999"/>
    <n v="125.4"/>
    <n v="129.69999999999999"/>
    <n v="137.80000000000001"/>
    <n v="8"/>
  </r>
  <r>
    <s v="Urban"/>
    <x v="9"/>
    <s v="August"/>
    <d v="2017-08-01T00:00:00"/>
    <s v="Pre-COVID"/>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n v="8"/>
  </r>
  <r>
    <s v="Rural+Urban"/>
    <x v="10"/>
    <s v="September"/>
    <d v="2018-09-01T00:00:00"/>
    <s v="Pre-COVID"/>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n v="9"/>
  </r>
  <r>
    <s v="Rural"/>
    <x v="9"/>
    <s v="September"/>
    <d v="2017-09-01T00:00:00"/>
    <s v="Pre-COVID"/>
    <n v="135.19999999999999"/>
    <n v="142"/>
    <n v="130.5"/>
    <n v="140.19999999999999"/>
    <n v="120.7"/>
    <n v="147.80000000000001"/>
    <n v="154.5"/>
    <n v="137.1"/>
    <n v="121"/>
    <n v="134.69999999999999"/>
    <n v="131.69999999999999"/>
    <n v="149.30000000000001"/>
    <n v="139.6"/>
    <n v="149.80000000000001"/>
    <n v="146.1"/>
    <n v="139.69999999999999"/>
    <n v="145.19999999999999"/>
    <n v="141"/>
    <n v="137.4"/>
    <n v="137.9"/>
    <n v="133.4"/>
    <n v="121.2"/>
    <n v="132.30000000000001"/>
    <n v="139.6"/>
    <n v="126.7"/>
    <n v="130.30000000000001"/>
    <n v="137.6"/>
    <n v="9"/>
  </r>
  <r>
    <s v="Urban"/>
    <x v="9"/>
    <s v="September"/>
    <d v="2017-09-01T00:00:00"/>
    <s v="Pre-COVID"/>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n v="9"/>
  </r>
  <r>
    <s v="Rural+Urban"/>
    <x v="10"/>
    <s v="August"/>
    <d v="2018-08-01T00:00:00"/>
    <s v="Pre-COVID"/>
    <n v="138.30000000000001"/>
    <n v="148"/>
    <n v="138.1"/>
    <n v="142.6"/>
    <n v="122.2"/>
    <n v="150.6"/>
    <n v="156.6"/>
    <n v="122.4"/>
    <n v="114.7"/>
    <n v="139.4"/>
    <n v="131.1"/>
    <n v="153"/>
    <n v="141.69999999999999"/>
    <n v="157.9"/>
    <n v="147.30000000000001"/>
    <n v="138.80000000000001"/>
    <n v="146.1"/>
    <n v="144.6"/>
    <n v="140.9"/>
    <n v="139.4"/>
    <n v="137.69999999999999"/>
    <n v="124.3"/>
    <n v="133.6"/>
    <n v="146"/>
    <n v="130.1"/>
    <n v="133.9"/>
    <n v="140.4"/>
    <n v="8"/>
  </r>
  <r>
    <s v="Rural"/>
    <x v="9"/>
    <s v="October"/>
    <d v="2017-10-01T00:00:00"/>
    <s v="Pre-COVID"/>
    <n v="135.9"/>
    <n v="141.9"/>
    <n v="131"/>
    <n v="141.5"/>
    <n v="121.4"/>
    <n v="146.69999999999999"/>
    <n v="157.1"/>
    <n v="136.4"/>
    <n v="121.4"/>
    <n v="135.6"/>
    <n v="131.30000000000001"/>
    <n v="150.30000000000001"/>
    <n v="140.4"/>
    <n v="150.5"/>
    <n v="147.19999999999999"/>
    <n v="140.6"/>
    <n v="146.19999999999999"/>
    <n v="141"/>
    <n v="138.1"/>
    <n v="138.4"/>
    <n v="134.19999999999999"/>
    <n v="121"/>
    <n v="133"/>
    <n v="140.1"/>
    <n v="127.4"/>
    <n v="130.69999999999999"/>
    <n v="138.30000000000001"/>
    <n v="10"/>
  </r>
  <r>
    <s v="Urban"/>
    <x v="9"/>
    <s v="October"/>
    <d v="2017-10-01T00:00:00"/>
    <s v="Pre-COVID"/>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n v="10"/>
  </r>
  <r>
    <s v="Rural+Urban"/>
    <x v="10"/>
    <s v="July"/>
    <d v="2018-07-01T00:00:00"/>
    <s v="Pre-COVID"/>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n v="7"/>
  </r>
  <r>
    <s v="Rural"/>
    <x v="9"/>
    <s v="November"/>
    <d v="2017-11-01T00:00:00"/>
    <s v="Pre-COVID"/>
    <n v="136.30000000000001"/>
    <n v="142.5"/>
    <n v="140.5"/>
    <n v="141.5"/>
    <n v="121.6"/>
    <n v="147.30000000000001"/>
    <n v="168"/>
    <n v="135.80000000000001"/>
    <n v="122.5"/>
    <n v="136"/>
    <n v="131.9"/>
    <n v="151.4"/>
    <n v="142.4"/>
    <n v="152.1"/>
    <n v="148.19999999999999"/>
    <n v="141.5"/>
    <n v="147.30000000000001"/>
    <n v="141"/>
    <n v="141.1"/>
    <n v="139.4"/>
    <n v="135.80000000000001"/>
    <n v="121.6"/>
    <n v="133.69999999999999"/>
    <n v="141.5"/>
    <n v="128.1"/>
    <n v="131.69999999999999"/>
    <n v="140"/>
    <n v="11"/>
  </r>
  <r>
    <s v="Urban"/>
    <x v="9"/>
    <s v="November"/>
    <d v="2017-11-01T00:00:00"/>
    <s v="Pre-COVID"/>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n v="11"/>
  </r>
  <r>
    <s v="Rural+Urban"/>
    <x v="10"/>
    <s v="June"/>
    <d v="2018-06-01T00:00:00"/>
    <s v="Pre-COVID"/>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n v="6"/>
  </r>
  <r>
    <s v="Rural"/>
    <x v="9"/>
    <s v="December"/>
    <d v="2017-12-01T00:00:00"/>
    <s v="Pre-COVID"/>
    <n v="136.4"/>
    <n v="143.69999999999999"/>
    <n v="144.80000000000001"/>
    <n v="141.9"/>
    <n v="123.1"/>
    <n v="147.19999999999999"/>
    <n v="161"/>
    <n v="133.80000000000001"/>
    <n v="121.9"/>
    <n v="135.80000000000001"/>
    <n v="131.1"/>
    <n v="151.4"/>
    <n v="141.5"/>
    <n v="153.19999999999999"/>
    <n v="148"/>
    <n v="141.9"/>
    <n v="147.19999999999999"/>
    <n v="141"/>
    <n v="142.6"/>
    <n v="139.5"/>
    <n v="136.1"/>
    <n v="122"/>
    <n v="133.4"/>
    <n v="141.1"/>
    <n v="127.8"/>
    <n v="131.9"/>
    <n v="139.80000000000001"/>
    <n v="12"/>
  </r>
  <r>
    <s v="Urban"/>
    <x v="9"/>
    <s v="December"/>
    <d v="2017-12-01T00:00:00"/>
    <s v="Pre-COVID"/>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n v="12"/>
  </r>
  <r>
    <s v="Rural+Urban"/>
    <x v="10"/>
    <s v="May"/>
    <d v="2018-05-01T00:00:00"/>
    <s v="Pre-COVID"/>
    <n v="136.6"/>
    <n v="146.6"/>
    <n v="133.6"/>
    <n v="142.1"/>
    <n v="121"/>
    <n v="154.6"/>
    <n v="135.6"/>
    <n v="122.3"/>
    <n v="109.6"/>
    <n v="138.1"/>
    <n v="129.9"/>
    <n v="151.69999999999999"/>
    <n v="138.1"/>
    <n v="157.9"/>
    <n v="146"/>
    <n v="137.4"/>
    <n v="144.69999999999999"/>
    <n v="143.19999999999999"/>
    <n v="136.9"/>
    <n v="137.4"/>
    <n v="136"/>
    <n v="122.9"/>
    <n v="131.80000000000001"/>
    <n v="142.1"/>
    <n v="129.9"/>
    <n v="132.1"/>
    <n v="137.80000000000001"/>
    <n v="5"/>
  </r>
  <r>
    <s v="Rural"/>
    <x v="10"/>
    <s v="January"/>
    <d v="2018-01-01T00:00:00"/>
    <s v="Pre-COVID"/>
    <n v="136.6"/>
    <n v="144.4"/>
    <n v="143.80000000000001"/>
    <n v="142"/>
    <n v="123.2"/>
    <n v="147.9"/>
    <n v="152.1"/>
    <n v="131.80000000000001"/>
    <n v="119.5"/>
    <n v="136"/>
    <n v="131.19999999999999"/>
    <n v="151.80000000000001"/>
    <n v="140.4"/>
    <n v="153.6"/>
    <n v="148.30000000000001"/>
    <n v="142.30000000000001"/>
    <n v="147.5"/>
    <n v="141"/>
    <n v="142.30000000000001"/>
    <n v="139.80000000000001"/>
    <n v="136"/>
    <n v="122.7"/>
    <n v="134.30000000000001"/>
    <n v="141.6"/>
    <n v="128.6"/>
    <n v="132.30000000000001"/>
    <n v="139.30000000000001"/>
    <n v="1"/>
  </r>
  <r>
    <s v="Urban"/>
    <x v="10"/>
    <s v="January"/>
    <d v="2018-01-01T00:00:00"/>
    <s v="Pre-COVID"/>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n v="1"/>
  </r>
  <r>
    <s v="Rural+Urban"/>
    <x v="10"/>
    <s v="April"/>
    <d v="2018-04-01T00:00:00"/>
    <s v="Pre-COVID"/>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n v="4"/>
  </r>
  <r>
    <s v="Rural"/>
    <x v="10"/>
    <s v="February"/>
    <d v="2018-02-01T00:00:00"/>
    <s v="Pre-COVID"/>
    <n v="136.4"/>
    <n v="143.69999999999999"/>
    <n v="140.6"/>
    <n v="141.5"/>
    <n v="122.9"/>
    <n v="149.4"/>
    <n v="142.4"/>
    <n v="130.19999999999999"/>
    <n v="117.9"/>
    <n v="135.6"/>
    <n v="130.5"/>
    <n v="151.69999999999999"/>
    <n v="138.69999999999999"/>
    <n v="153.30000000000001"/>
    <n v="148.69999999999999"/>
    <n v="142.4"/>
    <n v="147.80000000000001"/>
    <n v="141"/>
    <n v="142.4"/>
    <n v="139.9"/>
    <n v="136.19999999999999"/>
    <n v="123.3"/>
    <n v="134.30000000000001"/>
    <n v="141.5"/>
    <n v="128.80000000000001"/>
    <n v="132.5"/>
    <n v="138.5"/>
    <n v="2"/>
  </r>
  <r>
    <s v="Urban"/>
    <x v="10"/>
    <s v="February"/>
    <d v="2018-02-01T00:00:00"/>
    <s v="Pre-COVID"/>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n v="2"/>
  </r>
  <r>
    <s v="Rural+Urban"/>
    <x v="10"/>
    <s v="March"/>
    <d v="2018-03-01T00:00:00"/>
    <s v="Pre-COVID"/>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n v="3"/>
  </r>
  <r>
    <s v="Rural"/>
    <x v="10"/>
    <s v="March"/>
    <d v="2018-03-01T00:00:00"/>
    <s v="Pre-COVID"/>
    <n v="136.80000000000001"/>
    <n v="143.80000000000001"/>
    <n v="140"/>
    <n v="142"/>
    <n v="123.2"/>
    <n v="152.9"/>
    <n v="138"/>
    <n v="129.30000000000001"/>
    <n v="117.1"/>
    <n v="136.30000000000001"/>
    <n v="131.19999999999999"/>
    <n v="152.80000000000001"/>
    <n v="138.6"/>
    <n v="155.1"/>
    <n v="149.19999999999999"/>
    <n v="143"/>
    <n v="148.30000000000001"/>
    <n v="141"/>
    <n v="142.6"/>
    <n v="139.9"/>
    <n v="136.69999999999999"/>
    <n v="124.6"/>
    <n v="135.1"/>
    <n v="142.69999999999999"/>
    <n v="129.30000000000001"/>
    <n v="133.30000000000001"/>
    <n v="138.69999999999999"/>
    <n v="3"/>
  </r>
  <r>
    <s v="Urban"/>
    <x v="10"/>
    <s v="March"/>
    <d v="2018-03-01T00:00:00"/>
    <s v="Pre-COVID"/>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n v="3"/>
  </r>
  <r>
    <s v="Rural+Urban"/>
    <x v="10"/>
    <s v="February"/>
    <d v="2018-02-01T00:00:00"/>
    <s v="Pre-COVID"/>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n v="2"/>
  </r>
  <r>
    <s v="Rural"/>
    <x v="10"/>
    <s v="April"/>
    <d v="2018-04-01T00:00:00"/>
    <s v="Pre-COVID"/>
    <n v="137.1"/>
    <n v="144.5"/>
    <n v="135.9"/>
    <n v="142.4"/>
    <n v="123.5"/>
    <n v="156.4"/>
    <n v="135.1"/>
    <n v="128.4"/>
    <n v="115.2"/>
    <n v="137.19999999999999"/>
    <n v="131.9"/>
    <n v="153.80000000000001"/>
    <n v="138.6"/>
    <n v="156.1"/>
    <n v="150.1"/>
    <n v="143.30000000000001"/>
    <n v="149.1"/>
    <n v="141"/>
    <n v="143.80000000000001"/>
    <n v="140.9"/>
    <n v="137.6"/>
    <n v="125.3"/>
    <n v="136"/>
    <n v="143.69999999999999"/>
    <n v="130.4"/>
    <n v="134.19999999999999"/>
    <n v="139.1"/>
    <n v="4"/>
  </r>
  <r>
    <s v="Urban"/>
    <x v="10"/>
    <s v="April"/>
    <d v="2018-04-01T00:00:00"/>
    <s v="Pre-COVID"/>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n v="4"/>
  </r>
  <r>
    <s v="Rural+Urban"/>
    <x v="10"/>
    <s v="January"/>
    <d v="2018-01-01T00:00:00"/>
    <s v="Pre-COVID"/>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n v="1"/>
  </r>
  <r>
    <s v="Rural"/>
    <x v="10"/>
    <s v="May"/>
    <d v="2018-05-01T00:00:00"/>
    <s v="Pre-COVID"/>
    <n v="137.4"/>
    <n v="145.69999999999999"/>
    <n v="135.5"/>
    <n v="142.9"/>
    <n v="123.6"/>
    <n v="157.5"/>
    <n v="137.80000000000001"/>
    <n v="127.2"/>
    <n v="111.8"/>
    <n v="137.4"/>
    <n v="132.19999999999999"/>
    <n v="154.30000000000001"/>
    <n v="139.1"/>
    <n v="157"/>
    <n v="150.80000000000001"/>
    <n v="144.1"/>
    <n v="149.80000000000001"/>
    <n v="141"/>
    <n v="144.30000000000001"/>
    <n v="141.80000000000001"/>
    <n v="138.4"/>
    <n v="126.4"/>
    <n v="136.80000000000001"/>
    <n v="144.4"/>
    <n v="131.19999999999999"/>
    <n v="135.1"/>
    <n v="139.80000000000001"/>
    <n v="5"/>
  </r>
  <r>
    <s v="Urban"/>
    <x v="10"/>
    <s v="May"/>
    <d v="2018-05-01T00:00:00"/>
    <s v="Pre-COVID"/>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n v="5"/>
  </r>
  <r>
    <s v="Rural+Urban"/>
    <x v="9"/>
    <s v="December"/>
    <d v="2017-12-01T00:00:00"/>
    <s v="Pre-COVID"/>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n v="12"/>
  </r>
  <r>
    <s v="Rural"/>
    <x v="10"/>
    <s v="June"/>
    <d v="2018-06-01T00:00:00"/>
    <s v="Pre-COVID"/>
    <n v="137.6"/>
    <n v="148.1"/>
    <n v="136.69999999999999"/>
    <n v="143.19999999999999"/>
    <n v="124"/>
    <n v="154.1"/>
    <n v="143.5"/>
    <n v="126"/>
    <n v="112.4"/>
    <n v="137.6"/>
    <n v="132.80000000000001"/>
    <n v="154.30000000000001"/>
    <n v="140"/>
    <n v="157.30000000000001"/>
    <n v="151.30000000000001"/>
    <n v="144.69999999999999"/>
    <n v="150.30000000000001"/>
    <n v="141"/>
    <n v="145.1"/>
    <n v="142.19999999999999"/>
    <n v="138.4"/>
    <n v="127.4"/>
    <n v="137.80000000000001"/>
    <n v="145.1"/>
    <n v="131.4"/>
    <n v="135.6"/>
    <n v="140.5"/>
    <n v="6"/>
  </r>
  <r>
    <s v="Urban"/>
    <x v="10"/>
    <s v="June"/>
    <d v="2018-06-01T00:00:00"/>
    <s v="Pre-COVID"/>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n v="6"/>
  </r>
  <r>
    <s v="Rural+Urban"/>
    <x v="9"/>
    <s v="November"/>
    <d v="2017-11-01T00:00:00"/>
    <s v="Pre-COVID"/>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n v="11"/>
  </r>
  <r>
    <s v="Rural"/>
    <x v="10"/>
    <s v="July"/>
    <d v="2018-07-01T00:00:00"/>
    <s v="Pre-COVID"/>
    <n v="138.4"/>
    <n v="149.30000000000001"/>
    <n v="139.30000000000001"/>
    <n v="143.4"/>
    <n v="124.1"/>
    <n v="153.30000000000001"/>
    <n v="154.19999999999999"/>
    <n v="126.4"/>
    <n v="114.3"/>
    <n v="138.19999999999999"/>
    <n v="132.80000000000001"/>
    <n v="154.80000000000001"/>
    <n v="142"/>
    <n v="156.1"/>
    <n v="151.5"/>
    <n v="145.1"/>
    <n v="150.6"/>
    <n v="141"/>
    <n v="146.80000000000001"/>
    <n v="143.1"/>
    <n v="139"/>
    <n v="127.5"/>
    <n v="138.4"/>
    <n v="145.80000000000001"/>
    <n v="131.4"/>
    <n v="136"/>
    <n v="141.80000000000001"/>
    <n v="7"/>
  </r>
  <r>
    <s v="Urban"/>
    <x v="10"/>
    <s v="July"/>
    <d v="2018-07-01T00:00:00"/>
    <s v="Pre-COVID"/>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n v="7"/>
  </r>
  <r>
    <s v="Rural+Urban"/>
    <x v="9"/>
    <s v="October"/>
    <d v="2017-10-01T00:00:00"/>
    <s v="Pre-COVID"/>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n v="10"/>
  </r>
  <r>
    <s v="Rural"/>
    <x v="10"/>
    <s v="August"/>
    <d v="2018-08-01T00:00:00"/>
    <s v="Pre-COVID"/>
    <n v="139.19999999999999"/>
    <n v="148.80000000000001"/>
    <n v="139.1"/>
    <n v="143.5"/>
    <n v="125"/>
    <n v="154.4"/>
    <n v="156.30000000000001"/>
    <n v="126.8"/>
    <n v="115.4"/>
    <n v="138.6"/>
    <n v="133.80000000000001"/>
    <n v="155.19999999999999"/>
    <n v="142.69999999999999"/>
    <n v="156.4"/>
    <n v="152.1"/>
    <n v="145.80000000000001"/>
    <n v="151.30000000000001"/>
    <n v="141"/>
    <n v="147.69999999999999"/>
    <n v="143.80000000000001"/>
    <n v="139.4"/>
    <n v="128.30000000000001"/>
    <n v="138.6"/>
    <n v="146.9"/>
    <n v="131.30000000000001"/>
    <n v="136.6"/>
    <n v="142.5"/>
    <n v="8"/>
  </r>
  <r>
    <s v="Urban"/>
    <x v="10"/>
    <s v="August"/>
    <d v="2018-08-01T00:00:00"/>
    <s v="Pre-COVID"/>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n v="8"/>
  </r>
  <r>
    <s v="Rural+Urban"/>
    <x v="9"/>
    <s v="September"/>
    <d v="2017-09-01T00:00:00"/>
    <s v="Pre-COVID"/>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n v="9"/>
  </r>
  <r>
    <s v="Rural"/>
    <x v="10"/>
    <s v="September"/>
    <d v="2018-09-01T00:00:00"/>
    <s v="Pre-COVID"/>
    <n v="139.4"/>
    <n v="147.19999999999999"/>
    <n v="136.6"/>
    <n v="143.69999999999999"/>
    <n v="124.6"/>
    <n v="150.1"/>
    <n v="149.4"/>
    <n v="125.4"/>
    <n v="114.4"/>
    <n v="138.69999999999999"/>
    <n v="133.1"/>
    <n v="155.9"/>
    <n v="141.30000000000001"/>
    <n v="157.69999999999999"/>
    <n v="152.1"/>
    <n v="146.1"/>
    <n v="151.30000000000001"/>
    <n v="141"/>
    <n v="149"/>
    <n v="144"/>
    <n v="140"/>
    <n v="129.9"/>
    <n v="140"/>
    <n v="147.6"/>
    <n v="132"/>
    <n v="137.4"/>
    <n v="142.1"/>
    <n v="9"/>
  </r>
  <r>
    <s v="Urban"/>
    <x v="10"/>
    <s v="September"/>
    <d v="2018-09-01T00:00:00"/>
    <s v="Pre-COVID"/>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n v="9"/>
  </r>
  <r>
    <s v="Rural+Urban"/>
    <x v="9"/>
    <s v="August"/>
    <d v="2017-08-01T00:00:00"/>
    <s v="Pre-COVID"/>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n v="8"/>
  </r>
  <r>
    <s v="Rural"/>
    <x v="10"/>
    <s v="October"/>
    <d v="2018-10-01T00:00:00"/>
    <s v="Pre-COVID"/>
    <n v="139.30000000000001"/>
    <n v="147.6"/>
    <n v="134.6"/>
    <n v="141.9"/>
    <n v="123.5"/>
    <n v="144.5"/>
    <n v="147.6"/>
    <n v="121.4"/>
    <n v="112.3"/>
    <n v="139.5"/>
    <n v="134.6"/>
    <n v="155.19999999999999"/>
    <n v="140.19999999999999"/>
    <n v="159.6"/>
    <n v="150.69999999999999"/>
    <n v="144.5"/>
    <n v="149.80000000000001"/>
    <n v="141"/>
    <n v="149.69999999999999"/>
    <n v="147.5"/>
    <n v="144.80000000000001"/>
    <n v="130.80000000000001"/>
    <n v="140.1"/>
    <n v="148"/>
    <n v="134.4"/>
    <n v="139.80000000000001"/>
    <n v="142.19999999999999"/>
    <n v="10"/>
  </r>
  <r>
    <s v="Urban"/>
    <x v="10"/>
    <s v="October"/>
    <d v="2018-10-01T00:00:00"/>
    <s v="Pre-COVID"/>
    <n v="137.6"/>
    <n v="144.9"/>
    <n v="133.5"/>
    <n v="141.5"/>
    <n v="118"/>
    <n v="139.5"/>
    <n v="153"/>
    <n v="113.2"/>
    <n v="112.8"/>
    <n v="141.1"/>
    <n v="127.6"/>
    <n v="152"/>
    <n v="139.4"/>
    <n v="164"/>
    <n v="141.5"/>
    <n v="129.80000000000001"/>
    <n v="139.69999999999999"/>
    <n v="146.30000000000001"/>
    <n v="133.4"/>
    <n v="135.1"/>
    <n v="136.19999999999999"/>
    <n v="123.3"/>
    <n v="130.69999999999999"/>
    <n v="145.5"/>
    <n v="130.4"/>
    <n v="132.5"/>
    <n v="138.9"/>
    <n v="10"/>
  </r>
  <r>
    <s v="Rural+Urban"/>
    <x v="9"/>
    <s v="July"/>
    <d v="2017-07-01T00:00:00"/>
    <s v="Pre-COVID"/>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n v="7"/>
  </r>
  <r>
    <s v="Rural"/>
    <x v="10"/>
    <s v="November"/>
    <d v="2018-11-01T00:00:00"/>
    <s v="Pre-COVID"/>
    <n v="137.1"/>
    <n v="150.80000000000001"/>
    <n v="136.69999999999999"/>
    <n v="141.9"/>
    <n v="122.8"/>
    <n v="143.9"/>
    <n v="147.5"/>
    <n v="121"/>
    <n v="111.6"/>
    <n v="140.6"/>
    <n v="137.5"/>
    <n v="156.1"/>
    <n v="140"/>
    <n v="161.9"/>
    <n v="151.69999999999999"/>
    <n v="145.5"/>
    <n v="150.80000000000001"/>
    <n v="141"/>
    <n v="150.30000000000001"/>
    <n v="148"/>
    <n v="145.4"/>
    <n v="130.30000000000001"/>
    <n v="143.1"/>
    <n v="150.19999999999999"/>
    <n v="133.1"/>
    <n v="140.1"/>
    <n v="142.4"/>
    <n v="11"/>
  </r>
  <r>
    <s v="Urban"/>
    <x v="10"/>
    <s v="November"/>
    <d v="2018-11-01T00:00:00"/>
    <s v="Pre-COVID"/>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n v="11"/>
  </r>
  <r>
    <s v="Rural+Urban"/>
    <x v="9"/>
    <s v="June"/>
    <d v="2017-06-01T00:00:00"/>
    <s v="Pre-COVID"/>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n v="6"/>
  </r>
  <r>
    <s v="Rural"/>
    <x v="10"/>
    <s v="December"/>
    <d v="2018-12-01T00:00:00"/>
    <s v="Pre-COVID"/>
    <n v="137.1"/>
    <n v="151.9"/>
    <n v="137.4"/>
    <n v="142.4"/>
    <n v="124.2"/>
    <n v="140.19999999999999"/>
    <n v="136.6"/>
    <n v="120.9"/>
    <n v="109.9"/>
    <n v="140.19999999999999"/>
    <n v="137.80000000000001"/>
    <n v="156"/>
    <n v="138.5"/>
    <n v="162.4"/>
    <n v="151.6"/>
    <n v="145.9"/>
    <n v="150.80000000000001"/>
    <n v="141"/>
    <n v="149"/>
    <n v="149.5"/>
    <n v="149.6"/>
    <n v="128.9"/>
    <n v="143.30000000000001"/>
    <n v="155.1"/>
    <n v="133.19999999999999"/>
    <n v="141.6"/>
    <n v="141.9"/>
    <n v="12"/>
  </r>
  <r>
    <s v="Urban"/>
    <x v="10"/>
    <s v="December"/>
    <d v="2018-12-01T00:00:00"/>
    <s v="Pre-COVID"/>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n v="12"/>
  </r>
  <r>
    <s v="Rural+Urban"/>
    <x v="9"/>
    <s v="May"/>
    <d v="2017-05-01T00:00:00"/>
    <s v="Pre-COVID"/>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n v="5"/>
  </r>
  <r>
    <s v="Rural"/>
    <x v="8"/>
    <s v="January"/>
    <d v="2019-01-01T00:00:00"/>
    <s v="Pre-COVID"/>
    <n v="136.6"/>
    <n v="152.5"/>
    <n v="138.19999999999999"/>
    <n v="142.4"/>
    <n v="123.9"/>
    <n v="135.5"/>
    <n v="131.69999999999999"/>
    <n v="121.3"/>
    <n v="108.4"/>
    <n v="138.9"/>
    <n v="137"/>
    <n v="155.80000000000001"/>
    <n v="137.4"/>
    <n v="162.69999999999999"/>
    <n v="150.6"/>
    <n v="145.1"/>
    <n v="149.9"/>
    <n v="141"/>
    <n v="146.19999999999999"/>
    <n v="150.1"/>
    <n v="149.6"/>
    <n v="128.6"/>
    <n v="142.9"/>
    <n v="155.19999999999999"/>
    <n v="133.5"/>
    <n v="141.69999999999999"/>
    <n v="141"/>
    <n v="1"/>
  </r>
  <r>
    <s v="Urban"/>
    <x v="8"/>
    <s v="January"/>
    <d v="2019-01-01T00:00:00"/>
    <s v="Pre-COVID"/>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n v="1"/>
  </r>
  <r>
    <s v="Rural+Urban"/>
    <x v="9"/>
    <s v="April"/>
    <d v="2017-04-01T00:00:00"/>
    <s v="Pre-COVID"/>
    <n v="133"/>
    <n v="139.4"/>
    <n v="126.1"/>
    <n v="137.19999999999999"/>
    <n v="118.4"/>
    <n v="139.9"/>
    <n v="123.4"/>
    <n v="140.9"/>
    <n v="118.5"/>
    <n v="136.5"/>
    <n v="127.4"/>
    <n v="144.19999999999999"/>
    <n v="133.5"/>
    <n v="145.4"/>
    <n v="138"/>
    <n v="131.1"/>
    <n v="137"/>
    <n v="131.69999999999999"/>
    <n v="129.80000000000001"/>
    <n v="130.4"/>
    <n v="128.1"/>
    <n v="116.6"/>
    <n v="125.1"/>
    <n v="134.5"/>
    <n v="123.1"/>
    <n v="125.1"/>
    <n v="131.1"/>
    <n v="4"/>
  </r>
  <r>
    <s v="Rural"/>
    <x v="8"/>
    <s v="February"/>
    <d v="2019-02-01T00:00:00"/>
    <s v="Pre-COVID"/>
    <n v="136.80000000000001"/>
    <n v="153"/>
    <n v="139.1"/>
    <n v="142.5"/>
    <n v="124.1"/>
    <n v="135.80000000000001"/>
    <n v="128.69999999999999"/>
    <n v="121.5"/>
    <n v="108.3"/>
    <n v="139.19999999999999"/>
    <n v="137.4"/>
    <n v="156.19999999999999"/>
    <n v="137.19999999999999"/>
    <n v="162.80000000000001"/>
    <n v="150.5"/>
    <n v="146.1"/>
    <n v="149.9"/>
    <n v="141"/>
    <n v="145.30000000000001"/>
    <n v="150.1"/>
    <n v="149.9"/>
    <n v="129.19999999999999"/>
    <n v="143.4"/>
    <n v="155.5"/>
    <n v="134.9"/>
    <n v="142.19999999999999"/>
    <n v="141"/>
    <n v="2"/>
  </r>
  <r>
    <s v="Urban"/>
    <x v="8"/>
    <s v="February"/>
    <d v="2019-02-01T00:00:00"/>
    <s v="Pre-COVID"/>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n v="2"/>
  </r>
  <r>
    <s v="Rural+Urban"/>
    <x v="9"/>
    <s v="March"/>
    <d v="2017-03-01T00:00:00"/>
    <s v="Pre-COVID"/>
    <n v="133.30000000000001"/>
    <n v="139"/>
    <n v="128.6"/>
    <n v="136.30000000000001"/>
    <n v="118.8"/>
    <n v="138.30000000000001"/>
    <n v="120.5"/>
    <n v="143.9"/>
    <n v="118"/>
    <n v="137.9"/>
    <n v="127.2"/>
    <n v="144"/>
    <n v="133.1"/>
    <n v="145.1"/>
    <n v="137.30000000000001"/>
    <n v="130.6"/>
    <n v="136.4"/>
    <n v="131.1"/>
    <n v="129.1"/>
    <n v="130.1"/>
    <n v="127.8"/>
    <n v="117.6"/>
    <n v="125"/>
    <n v="133.80000000000001"/>
    <n v="122.6"/>
    <n v="125.1"/>
    <n v="130.9"/>
    <n v="3"/>
  </r>
  <r>
    <s v="Rural"/>
    <x v="8"/>
    <s v="March"/>
    <d v="2019-03-01T00:00:00"/>
    <s v="Pre-COVID"/>
    <n v="136.9"/>
    <n v="154.1"/>
    <n v="138.69999999999999"/>
    <n v="142.5"/>
    <n v="124.1"/>
    <n v="136.1"/>
    <n v="128.19999999999999"/>
    <n v="122.3"/>
    <n v="108.3"/>
    <n v="138.9"/>
    <n v="137.4"/>
    <n v="156.4"/>
    <n v="137.30000000000001"/>
    <n v="162.9"/>
    <n v="150.80000000000001"/>
    <n v="146.1"/>
    <n v="150.1"/>
    <n v="141"/>
    <n v="146.4"/>
    <n v="150"/>
    <n v="150.4"/>
    <n v="129.9"/>
    <n v="143.80000000000001"/>
    <n v="155.5"/>
    <n v="134"/>
    <n v="142.4"/>
    <n v="141.19999999999999"/>
    <n v="3"/>
  </r>
  <r>
    <s v="Urban"/>
    <x v="8"/>
    <s v="March"/>
    <d v="2019-03-01T00:00:00"/>
    <s v="Pre-COVID"/>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n v="3"/>
  </r>
  <r>
    <s v="Rural+Urban"/>
    <x v="9"/>
    <s v="February"/>
    <d v="2017-02-01T00:00:00"/>
    <s v="Pre-COVID"/>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n v="2"/>
  </r>
  <r>
    <s v="Rural"/>
    <x v="8"/>
    <s v="May"/>
    <d v="2019-05-01T00:00:00"/>
    <s v="Pre-COVID"/>
    <n v="137.4"/>
    <n v="159.5"/>
    <n v="134.5"/>
    <n v="142.6"/>
    <n v="124"/>
    <n v="143.69999999999999"/>
    <n v="133.4"/>
    <n v="125.1"/>
    <n v="109.3"/>
    <n v="139.30000000000001"/>
    <n v="137.69999999999999"/>
    <n v="156.4"/>
    <n v="139.19999999999999"/>
    <n v="163.30000000000001"/>
    <n v="151.30000000000001"/>
    <n v="146.6"/>
    <n v="150.69999999999999"/>
    <n v="141"/>
    <n v="146.9"/>
    <n v="149.5"/>
    <n v="151.30000000000001"/>
    <n v="130.19999999999999"/>
    <n v="145.9"/>
    <n v="156.69999999999999"/>
    <n v="133.9"/>
    <n v="142.9"/>
    <n v="142.4"/>
    <n v="5"/>
  </r>
  <r>
    <s v="Urban"/>
    <x v="8"/>
    <s v="May"/>
    <d v="2019-05-01T00:00:00"/>
    <s v="Pre-COVID"/>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n v="5"/>
  </r>
  <r>
    <s v="Rural+Urban"/>
    <x v="9"/>
    <s v="January"/>
    <d v="2017-01-01T00:00:00"/>
    <s v="Pre-COVID"/>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n v="1"/>
  </r>
  <r>
    <s v="Rural"/>
    <x v="8"/>
    <s v="June"/>
    <d v="2019-06-01T00:00:00"/>
    <s v="Pre-COVID"/>
    <n v="137.80000000000001"/>
    <n v="163.5"/>
    <n v="136.19999999999999"/>
    <n v="143.19999999999999"/>
    <n v="124.3"/>
    <n v="143.30000000000001"/>
    <n v="140.6"/>
    <n v="128.69999999999999"/>
    <n v="110.6"/>
    <n v="140.4"/>
    <n v="138"/>
    <n v="156.6"/>
    <n v="141"/>
    <n v="164.2"/>
    <n v="151.4"/>
    <n v="146.5"/>
    <n v="150.69999999999999"/>
    <n v="141"/>
    <n v="147.80000000000001"/>
    <n v="149.6"/>
    <n v="151.69999999999999"/>
    <n v="130.19999999999999"/>
    <n v="146.4"/>
    <n v="157.69999999999999"/>
    <n v="134.80000000000001"/>
    <n v="143.30000000000001"/>
    <n v="143.6"/>
    <n v="6"/>
  </r>
  <r>
    <s v="Urban"/>
    <x v="8"/>
    <s v="June"/>
    <d v="2019-06-01T00:00:00"/>
    <s v="Pre-COVID"/>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n v="6"/>
  </r>
  <r>
    <s v="Rural+Urban"/>
    <x v="7"/>
    <s v="December"/>
    <d v="2016-12-01T00:00:00"/>
    <s v="Pre-COVID"/>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n v="12"/>
  </r>
  <r>
    <s v="Rural"/>
    <x v="8"/>
    <s v="July"/>
    <d v="2019-07-01T00:00:00"/>
    <s v="Pre-COVID"/>
    <n v="138.4"/>
    <n v="164"/>
    <n v="138.4"/>
    <n v="143.9"/>
    <n v="124.4"/>
    <n v="146.4"/>
    <n v="150.1"/>
    <n v="130.6"/>
    <n v="110.8"/>
    <n v="141.69999999999999"/>
    <n v="138.5"/>
    <n v="156.69999999999999"/>
    <n v="143"/>
    <n v="164.5"/>
    <n v="151.6"/>
    <n v="146.6"/>
    <n v="150.9"/>
    <n v="141"/>
    <n v="146.80000000000001"/>
    <n v="150"/>
    <n v="152.19999999999999"/>
    <n v="131.19999999999999"/>
    <n v="147.5"/>
    <n v="159.1"/>
    <n v="136.1"/>
    <n v="144.19999999999999"/>
    <n v="144.9"/>
    <n v="7"/>
  </r>
  <r>
    <s v="Urban"/>
    <x v="8"/>
    <s v="July"/>
    <d v="2019-07-01T00:00:00"/>
    <s v="Pre-COVID"/>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n v="7"/>
  </r>
  <r>
    <s v="Rural+Urban"/>
    <x v="7"/>
    <s v="November"/>
    <d v="2016-11-01T00:00:00"/>
    <s v="Pre-COVID"/>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n v="11"/>
  </r>
  <r>
    <s v="Rural"/>
    <x v="8"/>
    <s v="August"/>
    <d v="2019-08-01T00:00:00"/>
    <s v="Pre-COVID"/>
    <n v="139.19999999999999"/>
    <n v="161.9"/>
    <n v="137.1"/>
    <n v="144.6"/>
    <n v="124.7"/>
    <n v="145.5"/>
    <n v="156.19999999999999"/>
    <n v="131.5"/>
    <n v="111.7"/>
    <n v="142.69999999999999"/>
    <n v="138.5"/>
    <n v="156.9"/>
    <n v="144"/>
    <n v="165.1"/>
    <n v="151.80000000000001"/>
    <n v="146.6"/>
    <n v="151.1"/>
    <n v="141"/>
    <n v="146.4"/>
    <n v="150.19999999999999"/>
    <n v="152.69999999999999"/>
    <n v="131.4"/>
    <n v="148"/>
    <n v="159.69999999999999"/>
    <n v="138.80000000000001"/>
    <n v="144.9"/>
    <n v="145.69999999999999"/>
    <n v="8"/>
  </r>
  <r>
    <s v="Urban"/>
    <x v="8"/>
    <s v="August"/>
    <d v="2019-08-01T00:00:00"/>
    <s v="Pre-COVID"/>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n v="8"/>
  </r>
  <r>
    <s v="Rural+Urban"/>
    <x v="7"/>
    <s v="October"/>
    <d v="2016-10-01T00:00:00"/>
    <s v="Pre-COVID"/>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n v="10"/>
  </r>
  <r>
    <s v="Rural"/>
    <x v="8"/>
    <s v="September"/>
    <d v="2019-09-01T00:00:00"/>
    <s v="Pre-COVID"/>
    <n v="140.1"/>
    <n v="161.9"/>
    <n v="138.30000000000001"/>
    <n v="145.69999999999999"/>
    <n v="125.1"/>
    <n v="143.80000000000001"/>
    <n v="163.4"/>
    <n v="132.19999999999999"/>
    <n v="112.8"/>
    <n v="144.19999999999999"/>
    <n v="138.5"/>
    <n v="157.19999999999999"/>
    <n v="145.5"/>
    <n v="165.7"/>
    <n v="151.69999999999999"/>
    <n v="146.6"/>
    <n v="151"/>
    <n v="141"/>
    <n v="146.9"/>
    <n v="150.30000000000001"/>
    <n v="153.4"/>
    <n v="131.6"/>
    <n v="148.30000000000001"/>
    <n v="160.19999999999999"/>
    <n v="140.19999999999999"/>
    <n v="145.4"/>
    <n v="146.69999999999999"/>
    <n v="9"/>
  </r>
  <r>
    <s v="Urban"/>
    <x v="8"/>
    <s v="September"/>
    <d v="2019-09-01T00:00:00"/>
    <s v="Pre-COVID"/>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n v="9"/>
  </r>
  <r>
    <s v="Rural+Urban"/>
    <x v="7"/>
    <s v="September"/>
    <d v="2016-09-01T00:00:00"/>
    <s v="Pre-COVID"/>
    <n v="129.9"/>
    <n v="138"/>
    <n v="130.5"/>
    <n v="134.4"/>
    <n v="117.2"/>
    <n v="136.1"/>
    <n v="150.69999999999999"/>
    <n v="171.5"/>
    <n v="113.8"/>
    <n v="138.80000000000001"/>
    <n v="126"/>
    <n v="140.19999999999999"/>
    <n v="136.6"/>
    <n v="141"/>
    <n v="134.6"/>
    <n v="128.6"/>
    <n v="133.80000000000001"/>
    <n v="127.9"/>
    <n v="124.1"/>
    <n v="127.9"/>
    <n v="125.4"/>
    <n v="114.3"/>
    <n v="122.9"/>
    <n v="131.80000000000001"/>
    <n v="122.1"/>
    <n v="122.8"/>
    <n v="130.9"/>
    <n v="9"/>
  </r>
  <r>
    <s v="Rural"/>
    <x v="8"/>
    <s v="October"/>
    <d v="2019-10-01T00:00:00"/>
    <s v="Pre-COVID"/>
    <n v="141"/>
    <n v="161.6"/>
    <n v="141.19999999999999"/>
    <n v="146.5"/>
    <n v="125.6"/>
    <n v="145.69999999999999"/>
    <n v="178.8"/>
    <n v="133.1"/>
    <n v="113.6"/>
    <n v="145.5"/>
    <n v="138.6"/>
    <n v="157.4"/>
    <n v="148.30000000000001"/>
    <n v="166.3"/>
    <n v="151.69999999999999"/>
    <n v="146.69999999999999"/>
    <n v="151"/>
    <n v="141"/>
    <n v="147.69999999999999"/>
    <n v="150.6"/>
    <n v="153.69999999999999"/>
    <n v="131.69999999999999"/>
    <n v="148.69999999999999"/>
    <n v="160.69999999999999"/>
    <n v="140.30000000000001"/>
    <n v="145.69999999999999"/>
    <n v="148.30000000000001"/>
    <n v="10"/>
  </r>
  <r>
    <s v="Urban"/>
    <x v="8"/>
    <s v="October"/>
    <d v="2019-10-01T00:00:00"/>
    <s v="Pre-COVID"/>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n v="10"/>
  </r>
  <r>
    <s v="Rural+Urban"/>
    <x v="7"/>
    <s v="August"/>
    <d v="2016-08-01T00:00:00"/>
    <s v="Pre-COVID"/>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n v="8"/>
  </r>
  <r>
    <s v="Rural"/>
    <x v="8"/>
    <s v="November"/>
    <d v="2019-11-01T00:00:00"/>
    <s v="Pre-COVID"/>
    <n v="141.80000000000001"/>
    <n v="163.69999999999999"/>
    <n v="143.80000000000001"/>
    <n v="147.1"/>
    <n v="126"/>
    <n v="146.19999999999999"/>
    <n v="191.4"/>
    <n v="136.19999999999999"/>
    <n v="113.8"/>
    <n v="147.30000000000001"/>
    <n v="138.69999999999999"/>
    <n v="157.69999999999999"/>
    <n v="150.9"/>
    <n v="167.2"/>
    <n v="152.30000000000001"/>
    <n v="147"/>
    <n v="151.5"/>
    <n v="141"/>
    <n v="148.4"/>
    <n v="150.9"/>
    <n v="154.30000000000001"/>
    <n v="132.1"/>
    <n v="149.1"/>
    <n v="160.80000000000001"/>
    <n v="140.6"/>
    <n v="146.1"/>
    <n v="149.9"/>
    <n v="11"/>
  </r>
  <r>
    <s v="Urban"/>
    <x v="8"/>
    <s v="November"/>
    <d v="2019-11-01T00:00:00"/>
    <s v="Pre-COVID"/>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n v="11"/>
  </r>
  <r>
    <s v="Rural+Urban"/>
    <x v="7"/>
    <s v="July"/>
    <d v="2016-07-01T00:00:00"/>
    <s v="Pre-COVID"/>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n v="7"/>
  </r>
  <r>
    <s v="Rural"/>
    <x v="8"/>
    <s v="December"/>
    <d v="2019-12-01T00:00:00"/>
    <s v="Pre-COVID"/>
    <n v="142.80000000000001"/>
    <n v="165.3"/>
    <n v="149.5"/>
    <n v="148.69999999999999"/>
    <n v="127.5"/>
    <n v="144.30000000000001"/>
    <n v="209.5"/>
    <n v="138.80000000000001"/>
    <n v="113.6"/>
    <n v="149.1"/>
    <n v="139.30000000000001"/>
    <n v="158.30000000000001"/>
    <n v="154.30000000000001"/>
    <n v="167.8"/>
    <n v="152.6"/>
    <n v="147.30000000000001"/>
    <n v="151.9"/>
    <n v="141"/>
    <n v="149.9"/>
    <n v="151.19999999999999"/>
    <n v="154.80000000000001"/>
    <n v="135"/>
    <n v="149.5"/>
    <n v="161.1"/>
    <n v="140.6"/>
    <n v="147.1"/>
    <n v="152.30000000000001"/>
    <n v="12"/>
  </r>
  <r>
    <s v="Urban"/>
    <x v="8"/>
    <s v="December"/>
    <d v="2019-12-01T00:00:00"/>
    <s v="Pre-COVID"/>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n v="12"/>
  </r>
  <r>
    <s v="Rural+Urban"/>
    <x v="7"/>
    <s v="June"/>
    <d v="2016-06-01T00:00:00"/>
    <s v="Pre-COVID"/>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n v="6"/>
  </r>
  <r>
    <s v="Rural"/>
    <x v="6"/>
    <s v="January"/>
    <d v="2020-01-01T00:00:00"/>
    <s v="Pre-COVID"/>
    <n v="143.69999999999999"/>
    <n v="167.3"/>
    <n v="153.5"/>
    <n v="150.5"/>
    <n v="132"/>
    <n v="142.19999999999999"/>
    <n v="191.5"/>
    <n v="141.1"/>
    <n v="113.8"/>
    <n v="151.6"/>
    <n v="139.69999999999999"/>
    <n v="158.69999999999999"/>
    <n v="153"/>
    <n v="168.6"/>
    <n v="152.80000000000001"/>
    <n v="147.4"/>
    <n v="152.1"/>
    <n v="141"/>
    <n v="150.4"/>
    <n v="151.69999999999999"/>
    <n v="155.69999999999999"/>
    <n v="136.30000000000001"/>
    <n v="150.1"/>
    <n v="161.69999999999999"/>
    <n v="142.5"/>
    <n v="148.1"/>
    <n v="151.9"/>
    <n v="1"/>
  </r>
  <r>
    <s v="Urban"/>
    <x v="6"/>
    <s v="January"/>
    <d v="2020-01-01T00:00:00"/>
    <s v="Pre-COVID"/>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n v="1"/>
  </r>
  <r>
    <s v="Rural+Urban"/>
    <x v="7"/>
    <s v="May"/>
    <d v="2016-05-01T00:00:00"/>
    <s v="Pre-COVID"/>
    <n v="126.8"/>
    <n v="139.1"/>
    <n v="125.4"/>
    <n v="131.69999999999999"/>
    <n v="115"/>
    <n v="136"/>
    <n v="145.1"/>
    <n v="171.7"/>
    <n v="108.7"/>
    <n v="135.30000000000001"/>
    <n v="124.2"/>
    <n v="137.4"/>
    <n v="134"/>
    <n v="137.69999999999999"/>
    <n v="132.19999999999999"/>
    <n v="126.8"/>
    <n v="131.4"/>
    <n v="126"/>
    <n v="122.7"/>
    <n v="126"/>
    <n v="123.7"/>
    <n v="112.8"/>
    <n v="121.5"/>
    <n v="128.5"/>
    <n v="119.2"/>
    <n v="120.7"/>
    <n v="128.6"/>
    <n v="5"/>
  </r>
  <r>
    <s v="Rural"/>
    <x v="6"/>
    <s v="February"/>
    <d v="2020-02-01T00:00:00"/>
    <s v="Pre-COVID"/>
    <n v="144.19999999999999"/>
    <n v="167.5"/>
    <n v="150.9"/>
    <n v="150.9"/>
    <n v="133.69999999999999"/>
    <n v="140.69999999999999"/>
    <n v="165.1"/>
    <n v="141.80000000000001"/>
    <n v="113.1"/>
    <n v="152.80000000000001"/>
    <n v="140.1"/>
    <n v="159.19999999999999"/>
    <n v="149.80000000000001"/>
    <n v="169.4"/>
    <n v="153"/>
    <n v="147.5"/>
    <n v="152.30000000000001"/>
    <n v="141"/>
    <n v="152.30000000000001"/>
    <n v="151.80000000000001"/>
    <n v="156.19999999999999"/>
    <n v="136"/>
    <n v="150.4"/>
    <n v="161.9"/>
    <n v="143.4"/>
    <n v="148.4"/>
    <n v="150.4"/>
    <n v="2"/>
  </r>
  <r>
    <s v="Urban"/>
    <x v="6"/>
    <s v="February"/>
    <d v="2020-02-01T00:00:00"/>
    <s v="Pre-COVID"/>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n v="2"/>
  </r>
  <r>
    <s v="Rural+Urban"/>
    <x v="7"/>
    <s v="April"/>
    <d v="2016-04-01T00:00:00"/>
    <s v="Pre-COVID"/>
    <n v="126.6"/>
    <n v="136.80000000000001"/>
    <n v="122"/>
    <n v="130.9"/>
    <n v="114.8"/>
    <n v="134.80000000000001"/>
    <n v="135"/>
    <n v="167.5"/>
    <n v="106.4"/>
    <n v="134.4"/>
    <n v="123.6"/>
    <n v="136.69999999999999"/>
    <n v="131.80000000000001"/>
    <n v="137.1"/>
    <n v="131.80000000000001"/>
    <n v="126.4"/>
    <n v="131"/>
    <n v="125.6"/>
    <n v="122.3"/>
    <n v="125.5"/>
    <n v="123.2"/>
    <n v="112.1"/>
    <n v="121.1"/>
    <n v="127.7"/>
    <n v="118.1"/>
    <n v="120"/>
    <n v="127.3"/>
    <n v="4"/>
  </r>
  <r>
    <s v="Rural"/>
    <x v="6"/>
    <s v="March"/>
    <d v="2020-03-01T00:00:00"/>
    <s v="Post-COVID"/>
    <n v="144.4"/>
    <n v="166.8"/>
    <n v="147.6"/>
    <n v="151.69999999999999"/>
    <n v="133.30000000000001"/>
    <n v="141.80000000000001"/>
    <n v="152.30000000000001"/>
    <n v="141.80000000000001"/>
    <n v="112.6"/>
    <n v="154"/>
    <n v="140.1"/>
    <n v="160"/>
    <n v="148.19999999999999"/>
    <n v="170.5"/>
    <n v="153.4"/>
    <n v="147.6"/>
    <n v="152.5"/>
    <n v="141"/>
    <n v="153.4"/>
    <n v="151.5"/>
    <n v="156.69999999999999"/>
    <n v="135.80000000000001"/>
    <n v="151.19999999999999"/>
    <n v="161.19999999999999"/>
    <n v="145.1"/>
    <n v="148.6"/>
    <n v="149.80000000000001"/>
    <n v="3"/>
  </r>
  <r>
    <s v="Urban"/>
    <x v="6"/>
    <s v="March"/>
    <d v="2020-03-01T00:00:00"/>
    <s v="Post-COVID"/>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n v="3"/>
  </r>
  <r>
    <s v="Rural+Urban"/>
    <x v="7"/>
    <s v="March"/>
    <d v="2016-03-01T00:00:00"/>
    <s v="Pre-COVID"/>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n v="3"/>
  </r>
  <r>
    <s v="Rural"/>
    <x v="6"/>
    <s v="April"/>
    <d v="2020-04-01T00:00:00"/>
    <s v="Post-COVID"/>
    <n v="147.19999999999999"/>
    <n v="144.19999999999999"/>
    <n v="146.9"/>
    <n v="155.6"/>
    <n v="137.1"/>
    <n v="147.30000000000001"/>
    <n v="162.69999999999999"/>
    <n v="150.19999999999999"/>
    <n v="119.8"/>
    <n v="158.69999999999999"/>
    <n v="139.19999999999999"/>
    <n v="135.5"/>
    <n v="150.1"/>
    <n v="144.19999999999999"/>
    <n v="135.5"/>
    <n v="141"/>
    <n v="135.5"/>
    <n v="141"/>
    <n v="148.4"/>
    <n v="144.19999999999999"/>
    <n v="154.30000000000001"/>
    <n v="141"/>
    <n v="135.5"/>
    <n v="141"/>
    <n v="144.19999999999999"/>
    <n v="135.5"/>
    <n v="141"/>
    <n v="4"/>
  </r>
  <r>
    <s v="Urban"/>
    <x v="6"/>
    <s v="April"/>
    <d v="2020-04-01T00:00:00"/>
    <s v="Post-COVID"/>
    <n v="151.80000000000001"/>
    <n v="144.19999999999999"/>
    <n v="151.9"/>
    <n v="155.5"/>
    <n v="131.6"/>
    <n v="152.9"/>
    <n v="180"/>
    <n v="150.80000000000001"/>
    <n v="121.2"/>
    <n v="154"/>
    <n v="133.5"/>
    <n v="135.5"/>
    <n v="153.5"/>
    <n v="144.19999999999999"/>
    <n v="135.5"/>
    <n v="141"/>
    <n v="135.5"/>
    <n v="155.6"/>
    <n v="137.1"/>
    <n v="144.19999999999999"/>
    <n v="144.80000000000001"/>
    <n v="141"/>
    <n v="135.5"/>
    <n v="141"/>
    <n v="144.19999999999999"/>
    <n v="135.5"/>
    <n v="141"/>
    <n v="4"/>
  </r>
  <r>
    <s v="Rural+Urban"/>
    <x v="7"/>
    <s v="February"/>
    <d v="2016-02-01T00:00:00"/>
    <s v="Pre-COVID"/>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n v="2"/>
  </r>
  <r>
    <s v="Rural"/>
    <x v="6"/>
    <s v="May"/>
    <d v="2020-05-01T00:00:00"/>
    <s v="Post-COVID"/>
    <n v="135.9"/>
    <n v="144.19999999999999"/>
    <n v="135.5"/>
    <n v="144.19999999999999"/>
    <n v="135.5"/>
    <n v="141"/>
    <n v="135.5"/>
    <n v="141"/>
    <n v="120.5"/>
    <n v="141"/>
    <n v="144.19999999999999"/>
    <n v="135.5"/>
    <n v="141"/>
    <n v="144.19999999999999"/>
    <n v="135.5"/>
    <n v="141"/>
    <n v="135.5"/>
    <n v="141"/>
    <n v="120.5"/>
    <n v="144.19999999999999"/>
    <n v="135.5"/>
    <n v="141"/>
    <n v="135.5"/>
    <n v="141"/>
    <n v="144.19999999999999"/>
    <n v="135.5"/>
    <n v="141"/>
    <n v="5"/>
  </r>
  <r>
    <s v="Urban"/>
    <x v="6"/>
    <s v="May"/>
    <d v="2020-05-01T00:00:00"/>
    <s v="Post-COVID"/>
    <n v="135.9"/>
    <n v="144.19999999999999"/>
    <n v="135.5"/>
    <n v="144.19999999999999"/>
    <n v="135.5"/>
    <n v="141"/>
    <n v="135.5"/>
    <n v="141"/>
    <n v="120.5"/>
    <n v="141"/>
    <n v="144.19999999999999"/>
    <n v="135.5"/>
    <n v="141"/>
    <n v="144.19999999999999"/>
    <n v="135.5"/>
    <n v="141"/>
    <n v="135.5"/>
    <n v="141"/>
    <n v="120.5"/>
    <n v="144.19999999999999"/>
    <n v="135.5"/>
    <n v="141"/>
    <n v="135.5"/>
    <n v="141"/>
    <n v="144.19999999999999"/>
    <n v="135.5"/>
    <n v="141"/>
    <n v="5"/>
  </r>
  <r>
    <s v="Rural+Urban"/>
    <x v="7"/>
    <s v="January"/>
    <d v="2016-01-01T00:00:00"/>
    <s v="Pre-COVID"/>
    <n v="126.1"/>
    <n v="134.1"/>
    <n v="128.6"/>
    <n v="129.9"/>
    <n v="115.5"/>
    <n v="125.7"/>
    <n v="141.5"/>
    <n v="170.7"/>
    <n v="97.4"/>
    <n v="132.9"/>
    <n v="122.7"/>
    <n v="135.30000000000001"/>
    <n v="131.30000000000001"/>
    <n v="135.19999999999999"/>
    <n v="130.30000000000001"/>
    <n v="125.1"/>
    <n v="129.5"/>
    <n v="123.4"/>
    <n v="122.7"/>
    <n v="124.2"/>
    <n v="122"/>
    <n v="111.1"/>
    <n v="119.8"/>
    <n v="126.3"/>
    <n v="114.5"/>
    <n v="118.5"/>
    <n v="126.3"/>
    <n v="1"/>
  </r>
  <r>
    <s v="Rural"/>
    <x v="6"/>
    <s v="June"/>
    <d v="2020-06-01T00:00:00"/>
    <s v="Post-COVID"/>
    <n v="148.19999999999999"/>
    <n v="190.3"/>
    <n v="149.4"/>
    <n v="153.30000000000001"/>
    <n v="138.19999999999999"/>
    <n v="143.19999999999999"/>
    <n v="148.9"/>
    <n v="150.30000000000001"/>
    <n v="113.2"/>
    <n v="159.80000000000001"/>
    <n v="142.1"/>
    <n v="161.80000000000001"/>
    <n v="152.30000000000001"/>
    <n v="182.4"/>
    <n v="154.69999999999999"/>
    <n v="150"/>
    <n v="154.1"/>
    <n v="141"/>
    <n v="144.9"/>
    <n v="151.69999999999999"/>
    <n v="158.19999999999999"/>
    <n v="141.4"/>
    <n v="153.19999999999999"/>
    <n v="161.80000000000001"/>
    <n v="151.19999999999999"/>
    <n v="151.69999999999999"/>
    <n v="152.69999999999999"/>
    <n v="6"/>
  </r>
  <r>
    <s v="Urban"/>
    <x v="6"/>
    <s v="June"/>
    <d v="2020-06-01T00:00:00"/>
    <s v="Post-COVID"/>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6"/>
  </r>
  <r>
    <s v="Rural+Urban"/>
    <x v="5"/>
    <s v="December"/>
    <d v="2015-12-01T00:00:00"/>
    <s v="Pre-COVID"/>
    <n v="125.7"/>
    <n v="131.4"/>
    <n v="124.8"/>
    <n v="129.4"/>
    <n v="115.3"/>
    <n v="126.6"/>
    <n v="146.69999999999999"/>
    <n v="171.5"/>
    <n v="94.5"/>
    <n v="132.1"/>
    <n v="122"/>
    <n v="134.69999999999999"/>
    <n v="131.4"/>
    <n v="134.5"/>
    <n v="129.69999999999999"/>
    <n v="124.8"/>
    <n v="129"/>
    <n v="122.4"/>
    <n v="122"/>
    <n v="123.6"/>
    <n v="121.4"/>
    <n v="111.5"/>
    <n v="119.6"/>
    <n v="126.2"/>
    <n v="113.7"/>
    <n v="118.3"/>
    <n v="126.1"/>
    <n v="12"/>
  </r>
  <r>
    <s v="Rural"/>
    <x v="6"/>
    <s v="July"/>
    <d v="2020-07-01T00:00:00"/>
    <s v="Post-COVID"/>
    <n v="148.19999999999999"/>
    <n v="190.3"/>
    <n v="149.4"/>
    <n v="153.30000000000001"/>
    <n v="138.19999999999999"/>
    <n v="143.19999999999999"/>
    <n v="148.9"/>
    <n v="150.30000000000001"/>
    <n v="113.2"/>
    <n v="159.80000000000001"/>
    <n v="142.1"/>
    <n v="161.80000000000001"/>
    <n v="152.30000000000001"/>
    <n v="182.4"/>
    <n v="154.69999999999999"/>
    <n v="150"/>
    <n v="154.1"/>
    <n v="141"/>
    <n v="144.9"/>
    <n v="151.69999999999999"/>
    <n v="158.19999999999999"/>
    <n v="141.4"/>
    <n v="153.19999999999999"/>
    <n v="161.80000000000001"/>
    <n v="151.19999999999999"/>
    <n v="151.69999999999999"/>
    <n v="152.69999999999999"/>
    <n v="7"/>
  </r>
  <r>
    <s v="Urban"/>
    <x v="6"/>
    <s v="July"/>
    <d v="2020-07-01T00:00:00"/>
    <s v="Post-COVID"/>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7"/>
  </r>
  <r>
    <s v="Rural+Urban"/>
    <x v="5"/>
    <s v="November"/>
    <d v="2015-11-01T00:00:00"/>
    <s v="Pre-COVID"/>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n v="11"/>
  </r>
  <r>
    <s v="Rural"/>
    <x v="6"/>
    <s v="August"/>
    <d v="2020-08-01T00:00:00"/>
    <s v="Post-COVID"/>
    <n v="147.6"/>
    <n v="187.2"/>
    <n v="148.4"/>
    <n v="153.30000000000001"/>
    <n v="139.80000000000001"/>
    <n v="146.9"/>
    <n v="171"/>
    <n v="149.9"/>
    <n v="114.2"/>
    <n v="160"/>
    <n v="143.5"/>
    <n v="161.5"/>
    <n v="155.30000000000001"/>
    <n v="180.9"/>
    <n v="155.1"/>
    <n v="149.30000000000001"/>
    <n v="154.30000000000001"/>
    <n v="141"/>
    <n v="145.80000000000001"/>
    <n v="151.9"/>
    <n v="158.80000000000001"/>
    <n v="143.6"/>
    <n v="152.19999999999999"/>
    <n v="162.69999999999999"/>
    <n v="153.6"/>
    <n v="153"/>
    <n v="154.69999999999999"/>
    <n v="8"/>
  </r>
  <r>
    <s v="Urban"/>
    <x v="6"/>
    <s v="August"/>
    <d v="2020-08-01T00:00:00"/>
    <s v="Post-COVID"/>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n v="8"/>
  </r>
  <r>
    <s v="Rural+Urban"/>
    <x v="5"/>
    <s v="October"/>
    <d v="2015-10-01T00:00:00"/>
    <s v="Pre-COVID"/>
    <n v="125"/>
    <n v="129.80000000000001"/>
    <n v="118.9"/>
    <n v="129.1"/>
    <n v="113.3"/>
    <n v="129"/>
    <n v="160.4"/>
    <n v="165.3"/>
    <n v="92.3"/>
    <n v="129.69999999999999"/>
    <n v="121.1"/>
    <n v="133"/>
    <n v="132.1"/>
    <n v="132.5"/>
    <n v="128.5"/>
    <n v="123.8"/>
    <n v="127.8"/>
    <n v="122.4"/>
    <n v="120.8"/>
    <n v="123"/>
    <n v="120.4"/>
    <n v="111.4"/>
    <n v="118.7"/>
    <n v="125.9"/>
    <n v="113.9"/>
    <n v="117.9"/>
    <n v="126.1"/>
    <n v="10"/>
  </r>
  <r>
    <s v="Rural"/>
    <x v="6"/>
    <s v="September"/>
    <d v="2020-09-01T00:00:00"/>
    <s v="Post-COVID"/>
    <n v="146.9"/>
    <n v="183.9"/>
    <n v="149.5"/>
    <n v="153.4"/>
    <n v="140.4"/>
    <n v="147"/>
    <n v="178.8"/>
    <n v="149.30000000000001"/>
    <n v="115.1"/>
    <n v="160"/>
    <n v="145.4"/>
    <n v="161.6"/>
    <n v="156.1"/>
    <n v="182.9"/>
    <n v="155.4"/>
    <n v="149.9"/>
    <n v="154.6"/>
    <n v="141"/>
    <n v="146.4"/>
    <n v="151.6"/>
    <n v="159.1"/>
    <n v="144.6"/>
    <n v="152.80000000000001"/>
    <n v="161.1"/>
    <n v="157.4"/>
    <n v="153.69999999999999"/>
    <n v="155.4"/>
    <n v="9"/>
  </r>
  <r>
    <s v="Urban"/>
    <x v="6"/>
    <s v="September"/>
    <d v="2020-09-01T00:00:00"/>
    <s v="Post-COVID"/>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n v="9"/>
  </r>
  <r>
    <s v="Rural+Urban"/>
    <x v="5"/>
    <s v="September"/>
    <d v="2015-09-01T00:00:00"/>
    <s v="Pre-COVID"/>
    <n v="124.6"/>
    <n v="130.4"/>
    <n v="118.7"/>
    <n v="128.9"/>
    <n v="111.9"/>
    <n v="128.4"/>
    <n v="162.19999999999999"/>
    <n v="150"/>
    <n v="90.4"/>
    <n v="128.4"/>
    <n v="120.7"/>
    <n v="132.5"/>
    <n v="131.19999999999999"/>
    <n v="132"/>
    <n v="127.9"/>
    <n v="123.4"/>
    <n v="127.2"/>
    <n v="121.6"/>
    <n v="120.4"/>
    <n v="122.6"/>
    <n v="119.8"/>
    <n v="111.3"/>
    <n v="118.3"/>
    <n v="125.7"/>
    <n v="113.4"/>
    <n v="117.5"/>
    <n v="125.4"/>
    <n v="9"/>
  </r>
  <r>
    <s v="Rural"/>
    <x v="6"/>
    <s v="October"/>
    <d v="2020-10-01T00:00:00"/>
    <s v="Post-COVID"/>
    <n v="146"/>
    <n v="186.3"/>
    <n v="159.19999999999999"/>
    <n v="153.6"/>
    <n v="142.6"/>
    <n v="147.19999999999999"/>
    <n v="200.6"/>
    <n v="150.30000000000001"/>
    <n v="115.3"/>
    <n v="160.9"/>
    <n v="147.4"/>
    <n v="161.9"/>
    <n v="159.6"/>
    <n v="182.7"/>
    <n v="155.69999999999999"/>
    <n v="150.6"/>
    <n v="155"/>
    <n v="141"/>
    <n v="146.80000000000001"/>
    <n v="152"/>
    <n v="159.5"/>
    <n v="146.4"/>
    <n v="152.4"/>
    <n v="162.5"/>
    <n v="156.19999999999999"/>
    <n v="154.30000000000001"/>
    <n v="157.5"/>
    <n v="10"/>
  </r>
  <r>
    <s v="Urban"/>
    <x v="6"/>
    <s v="October"/>
    <d v="2020-10-01T00:00:00"/>
    <s v="Post-COVID"/>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n v="10"/>
  </r>
  <r>
    <s v="Rural+Urban"/>
    <x v="5"/>
    <s v="August"/>
    <d v="2015-08-01T00:00:00"/>
    <s v="Pre-COVID"/>
    <n v="124.2"/>
    <n v="131.4"/>
    <n v="120.1"/>
    <n v="128.5"/>
    <n v="111.4"/>
    <n v="132.30000000000001"/>
    <n v="157.6"/>
    <n v="144"/>
    <n v="90.5"/>
    <n v="126.8"/>
    <n v="120.4"/>
    <n v="132.1"/>
    <n v="130.30000000000001"/>
    <n v="131.19999999999999"/>
    <n v="127.2"/>
    <n v="122.9"/>
    <n v="126.6"/>
    <n v="120.9"/>
    <n v="120.6"/>
    <n v="122"/>
    <n v="119.4"/>
    <n v="111.7"/>
    <n v="117.8"/>
    <n v="125.1"/>
    <n v="112.3"/>
    <n v="117.2"/>
    <n v="124.8"/>
    <n v="8"/>
  </r>
  <r>
    <s v="Rural"/>
    <x v="6"/>
    <s v="November"/>
    <d v="2020-11-01T00:00:00"/>
    <s v="Post-COVID"/>
    <n v="145.4"/>
    <n v="188.6"/>
    <n v="171.6"/>
    <n v="153.80000000000001"/>
    <n v="145.4"/>
    <n v="146.5"/>
    <n v="222.2"/>
    <n v="155.9"/>
    <n v="114.9"/>
    <n v="162"/>
    <n v="150"/>
    <n v="162.69999999999999"/>
    <n v="163.4"/>
    <n v="183.4"/>
    <n v="156.30000000000001"/>
    <n v="151"/>
    <n v="155.5"/>
    <n v="141"/>
    <n v="147.5"/>
    <n v="152.80000000000001"/>
    <n v="160.4"/>
    <n v="146.1"/>
    <n v="153.6"/>
    <n v="161.6"/>
    <n v="156.19999999999999"/>
    <n v="154.5"/>
    <n v="159.80000000000001"/>
    <n v="11"/>
  </r>
  <r>
    <s v="Urban"/>
    <x v="6"/>
    <s v="November"/>
    <d v="2020-11-01T00:00:00"/>
    <s v="Post-COVID"/>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n v="11"/>
  </r>
  <r>
    <s v="Rural+Urban"/>
    <x v="5"/>
    <s v="July"/>
    <d v="2015-07-01T00:00:00"/>
    <s v="Pre-COVID"/>
    <n v="123.7"/>
    <n v="132.5"/>
    <n v="121"/>
    <n v="128.30000000000001"/>
    <n v="110.9"/>
    <n v="133.1"/>
    <n v="145.1"/>
    <n v="139.1"/>
    <n v="91.3"/>
    <n v="126.1"/>
    <n v="119.9"/>
    <n v="131.4"/>
    <n v="128.19999999999999"/>
    <n v="130.4"/>
    <n v="126.7"/>
    <n v="122.3"/>
    <n v="126.1"/>
    <n v="119.9"/>
    <n v="120.1"/>
    <n v="121.3"/>
    <n v="119"/>
    <n v="112.7"/>
    <n v="117.2"/>
    <n v="124.4"/>
    <n v="112.3"/>
    <n v="117.2"/>
    <n v="123.6"/>
    <n v="7"/>
  </r>
  <r>
    <s v="Rural"/>
    <x v="6"/>
    <s v="December"/>
    <d v="2020-12-01T00:00:00"/>
    <s v="Post-COVID"/>
    <n v="144.6"/>
    <n v="188.5"/>
    <n v="173.4"/>
    <n v="154"/>
    <n v="150"/>
    <n v="145.9"/>
    <n v="225.2"/>
    <n v="159.5"/>
    <n v="114.4"/>
    <n v="163.5"/>
    <n v="153.4"/>
    <n v="163.6"/>
    <n v="164.5"/>
    <n v="183.6"/>
    <n v="157"/>
    <n v="151.6"/>
    <n v="156.30000000000001"/>
    <n v="141"/>
    <n v="148.69999999999999"/>
    <n v="153.4"/>
    <n v="161.6"/>
    <n v="146.4"/>
    <n v="153.9"/>
    <n v="162.9"/>
    <n v="156.6"/>
    <n v="155.19999999999999"/>
    <n v="160.69999999999999"/>
    <n v="12"/>
  </r>
  <r>
    <s v="Urban"/>
    <x v="6"/>
    <s v="December"/>
    <d v="2020-12-01T00:00:00"/>
    <s v="Post-COVID"/>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n v="12"/>
  </r>
  <r>
    <s v="Rural+Urban"/>
    <x v="5"/>
    <s v="June"/>
    <d v="2015-06-01T00:00:00"/>
    <s v="Pre-COVID"/>
    <n v="123.9"/>
    <n v="131.80000000000001"/>
    <n v="121.6"/>
    <n v="128.19999999999999"/>
    <n v="111.1"/>
    <n v="132.80000000000001"/>
    <n v="139.1"/>
    <n v="137.4"/>
    <n v="94.1"/>
    <n v="125.5"/>
    <n v="119.8"/>
    <n v="130.9"/>
    <n v="127.3"/>
    <n v="129.19999999999999"/>
    <n v="126.4"/>
    <n v="122"/>
    <n v="125.7"/>
    <n v="119"/>
    <n v="119.8"/>
    <n v="121.1"/>
    <n v="118.5"/>
    <n v="112.9"/>
    <n v="116.9"/>
    <n v="123.1"/>
    <n v="112.8"/>
    <n v="117"/>
    <n v="123"/>
    <n v="6"/>
  </r>
  <r>
    <s v="Rural"/>
    <x v="4"/>
    <s v="January"/>
    <d v="2021-01-01T00:00:00"/>
    <s v="Post-COVID"/>
    <n v="143.4"/>
    <n v="187.5"/>
    <n v="173.4"/>
    <n v="154"/>
    <n v="154.80000000000001"/>
    <n v="147"/>
    <n v="187.8"/>
    <n v="159.5"/>
    <n v="113.8"/>
    <n v="164.5"/>
    <n v="156.1"/>
    <n v="164.3"/>
    <n v="159.6"/>
    <n v="184.6"/>
    <n v="157.5"/>
    <n v="152.4"/>
    <n v="156.80000000000001"/>
    <n v="141"/>
    <n v="150.9"/>
    <n v="153.9"/>
    <n v="162.5"/>
    <n v="147.5"/>
    <n v="155.1"/>
    <n v="163.5"/>
    <n v="156.19999999999999"/>
    <n v="155.9"/>
    <n v="158.5"/>
    <n v="1"/>
  </r>
  <r>
    <s v="Urban"/>
    <x v="4"/>
    <s v="January"/>
    <d v="2021-01-01T00:00:00"/>
    <s v="Post-COVID"/>
    <n v="148"/>
    <n v="194.8"/>
    <n v="178.4"/>
    <n v="154.4"/>
    <n v="144.1"/>
    <n v="152.6"/>
    <n v="206.8"/>
    <n v="162.1"/>
    <n v="116.3"/>
    <n v="163"/>
    <n v="145.9"/>
    <n v="167.2"/>
    <n v="163.4"/>
    <n v="191.8"/>
    <n v="152.5"/>
    <n v="137.30000000000001"/>
    <n v="150.19999999999999"/>
    <n v="157.69999999999999"/>
    <n v="142.9"/>
    <n v="145.69999999999999"/>
    <n v="154.1"/>
    <n v="136.9"/>
    <n v="145.4"/>
    <n v="156.1"/>
    <n v="157.69999999999999"/>
    <n v="147.6"/>
    <n v="156"/>
    <n v="1"/>
  </r>
  <r>
    <s v="Rural+Urban"/>
    <x v="5"/>
    <s v="May"/>
    <d v="2015-05-01T00:00:00"/>
    <s v="Pre-COVID"/>
    <n v="123.6"/>
    <n v="128"/>
    <n v="115"/>
    <n v="127.3"/>
    <n v="109.8"/>
    <n v="132.6"/>
    <n v="130.9"/>
    <n v="130.5"/>
    <n v="95.3"/>
    <n v="123.4"/>
    <n v="119.2"/>
    <n v="129.80000000000001"/>
    <n v="125"/>
    <n v="127.9"/>
    <n v="125.4"/>
    <n v="121.3"/>
    <n v="124.7"/>
    <n v="119.6"/>
    <n v="119.2"/>
    <n v="120.2"/>
    <n v="117.7"/>
    <n v="112"/>
    <n v="116.3"/>
    <n v="121.4"/>
    <n v="112.3"/>
    <n v="116.1"/>
    <n v="121.6"/>
    <n v="5"/>
  </r>
  <r>
    <s v="Rural"/>
    <x v="4"/>
    <s v="February"/>
    <d v="2021-02-01T00:00:00"/>
    <s v="Post-COVID"/>
    <n v="142.80000000000001"/>
    <n v="184"/>
    <n v="168"/>
    <n v="154.4"/>
    <n v="163"/>
    <n v="147.80000000000001"/>
    <n v="149.69999999999999"/>
    <n v="158.30000000000001"/>
    <n v="111.8"/>
    <n v="165"/>
    <n v="160"/>
    <n v="165.8"/>
    <n v="154.69999999999999"/>
    <n v="186.5"/>
    <n v="159.1"/>
    <n v="153.9"/>
    <n v="158.4"/>
    <n v="141"/>
    <n v="154.4"/>
    <n v="154.80000000000001"/>
    <n v="164.3"/>
    <n v="150.19999999999999"/>
    <n v="157"/>
    <n v="163.6"/>
    <n v="155.19999999999999"/>
    <n v="157.19999999999999"/>
    <n v="156.69999999999999"/>
    <n v="2"/>
  </r>
  <r>
    <s v="Urban"/>
    <x v="4"/>
    <s v="February"/>
    <d v="2021-02-01T00:00:00"/>
    <s v="Post-COVID"/>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n v="2"/>
  </r>
  <r>
    <s v="Rural+Urban"/>
    <x v="5"/>
    <s v="April"/>
    <d v="2015-04-01T00:00:00"/>
    <s v="Pre-COVID"/>
    <n v="123.5"/>
    <n v="126.4"/>
    <n v="114.4"/>
    <n v="126.6"/>
    <n v="109.2"/>
    <n v="132.5"/>
    <n v="128.6"/>
    <n v="124.8"/>
    <n v="95.7"/>
    <n v="122.4"/>
    <n v="118.5"/>
    <n v="129.1"/>
    <n v="124"/>
    <n v="126.9"/>
    <n v="124.7"/>
    <n v="120.8"/>
    <n v="124.1"/>
    <n v="119.2"/>
    <n v="118.7"/>
    <n v="119.7"/>
    <n v="117.1"/>
    <n v="110.1"/>
    <n v="115.9"/>
    <n v="121"/>
    <n v="111.7"/>
    <n v="115.1"/>
    <n v="120.7"/>
    <n v="4"/>
  </r>
  <r>
    <s v="Rural"/>
    <x v="4"/>
    <s v="March"/>
    <d v="2021-03-01T00:00:00"/>
    <s v="Post-COVID"/>
    <n v="142.5"/>
    <n v="189.4"/>
    <n v="163.19999999999999"/>
    <n v="154.5"/>
    <n v="168.2"/>
    <n v="150.5"/>
    <n v="141"/>
    <n v="159.19999999999999"/>
    <n v="111.7"/>
    <n v="164"/>
    <n v="160.6"/>
    <n v="166.4"/>
    <n v="154.5"/>
    <n v="186.1"/>
    <n v="159.6"/>
    <n v="154.4"/>
    <n v="158.9"/>
    <n v="141"/>
    <n v="156"/>
    <n v="154.80000000000001"/>
    <n v="164.6"/>
    <n v="151.30000000000001"/>
    <n v="157.80000000000001"/>
    <n v="163.80000000000001"/>
    <n v="153.1"/>
    <n v="157.30000000000001"/>
    <n v="156.69999999999999"/>
    <n v="3"/>
  </r>
  <r>
    <s v="Urban"/>
    <x v="4"/>
    <s v="March"/>
    <d v="2021-03-01T00:00:00"/>
    <s v="Post-COVID"/>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n v="3"/>
  </r>
  <r>
    <s v="Rural+Urban"/>
    <x v="5"/>
    <s v="March"/>
    <d v="2015-03-01T00:00:00"/>
    <s v="Pre-COVID"/>
    <n v="123.5"/>
    <n v="125.4"/>
    <n v="116.8"/>
    <n v="126"/>
    <n v="109.2"/>
    <n v="127.6"/>
    <n v="129.19999999999999"/>
    <n v="122.4"/>
    <n v="97"/>
    <n v="122.1"/>
    <n v="118.1"/>
    <n v="128.4"/>
    <n v="123.4"/>
    <n v="125.8"/>
    <n v="124.3"/>
    <n v="120.4"/>
    <n v="123.7"/>
    <n v="118.6"/>
    <n v="118.3"/>
    <n v="119.2"/>
    <n v="116.7"/>
    <n v="109.9"/>
    <n v="115.4"/>
    <n v="120.1"/>
    <n v="111"/>
    <n v="114.7"/>
    <n v="120.2"/>
    <n v="3"/>
  </r>
  <r>
    <s v="Rural"/>
    <x v="4"/>
    <s v="April"/>
    <d v="2021-04-01T00:00:00"/>
    <s v="Post-COVID"/>
    <n v="142.69999999999999"/>
    <n v="195.5"/>
    <n v="163.4"/>
    <n v="155"/>
    <n v="175.2"/>
    <n v="160.6"/>
    <n v="135.1"/>
    <n v="161.1"/>
    <n v="112.2"/>
    <n v="164.4"/>
    <n v="161.9"/>
    <n v="166.8"/>
    <n v="155.6"/>
    <n v="186.8"/>
    <n v="160.69999999999999"/>
    <n v="155.1"/>
    <n v="159.9"/>
    <n v="141"/>
    <n v="156"/>
    <n v="155.5"/>
    <n v="165.3"/>
    <n v="151.69999999999999"/>
    <n v="158.6"/>
    <n v="164.1"/>
    <n v="154.6"/>
    <n v="158"/>
    <n v="157.6"/>
    <n v="4"/>
  </r>
  <r>
    <s v="Urban"/>
    <x v="4"/>
    <s v="April"/>
    <d v="2021-04-01T00:00:00"/>
    <s v="Post-COVID"/>
    <n v="147.6"/>
    <n v="202.5"/>
    <n v="166.4"/>
    <n v="156"/>
    <n v="161.4"/>
    <n v="168.8"/>
    <n v="161.6"/>
    <n v="162.80000000000001"/>
    <n v="114.8"/>
    <n v="162.80000000000001"/>
    <n v="151.5"/>
    <n v="171.4"/>
    <n v="162"/>
    <n v="194.4"/>
    <n v="155.9"/>
    <n v="139.30000000000001"/>
    <n v="153.4"/>
    <n v="161.4"/>
    <n v="154.9"/>
    <n v="147.6"/>
    <n v="157.5"/>
    <n v="142.1"/>
    <n v="149.1"/>
    <n v="157.6"/>
    <n v="156.6"/>
    <n v="150.5"/>
    <n v="158"/>
    <n v="4"/>
  </r>
  <r>
    <s v="Rural+Urban"/>
    <x v="5"/>
    <s v="February"/>
    <d v="2015-02-01T00:00:00"/>
    <s v="Pre-COVID"/>
    <n v="123.7"/>
    <n v="125.1"/>
    <n v="121.1"/>
    <n v="125.7"/>
    <n v="109.1"/>
    <n v="125.8"/>
    <n v="129.4"/>
    <n v="120.9"/>
    <n v="98.3"/>
    <n v="121.6"/>
    <n v="118"/>
    <n v="127.6"/>
    <n v="123.1"/>
    <n v="125.2"/>
    <n v="123.8"/>
    <n v="120.1"/>
    <n v="123.3"/>
    <n v="118.1"/>
    <n v="117.7"/>
    <n v="118.7"/>
    <n v="116.3"/>
    <n v="108.7"/>
    <n v="114.9"/>
    <n v="119.7"/>
    <n v="111.2"/>
    <n v="114.1"/>
    <n v="119.7"/>
    <n v="2"/>
  </r>
  <r>
    <s v="Rural"/>
    <x v="4"/>
    <s v="May"/>
    <d v="2021-05-01T00:00:00"/>
    <s v="Post-COVID"/>
    <n v="145.1"/>
    <n v="198.5"/>
    <n v="168.6"/>
    <n v="155.80000000000001"/>
    <n v="184.4"/>
    <n v="162.30000000000001"/>
    <n v="138.4"/>
    <n v="165.1"/>
    <n v="114.3"/>
    <n v="169.7"/>
    <n v="164.6"/>
    <n v="169.8"/>
    <n v="158.69999999999999"/>
    <n v="189.6"/>
    <n v="165.3"/>
    <n v="160.6"/>
    <n v="164.5"/>
    <n v="141"/>
    <n v="161.69999999999999"/>
    <n v="158.80000000000001"/>
    <n v="169.1"/>
    <n v="153.19999999999999"/>
    <n v="160"/>
    <n v="167.6"/>
    <n v="159.30000000000001"/>
    <n v="161.1"/>
    <n v="161.1"/>
    <n v="5"/>
  </r>
  <r>
    <s v="Urban"/>
    <x v="4"/>
    <s v="May"/>
    <d v="2021-05-01T00:00:00"/>
    <s v="Post-COVID"/>
    <n v="148.80000000000001"/>
    <n v="204.3"/>
    <n v="173"/>
    <n v="156.5"/>
    <n v="168.8"/>
    <n v="172.5"/>
    <n v="166.5"/>
    <n v="165.9"/>
    <n v="115.9"/>
    <n v="165.2"/>
    <n v="152"/>
    <n v="171.1"/>
    <n v="164.2"/>
    <n v="198.2"/>
    <n v="156.5"/>
    <n v="140.19999999999999"/>
    <n v="154.1"/>
    <n v="161.6"/>
    <n v="155.5"/>
    <n v="150.1"/>
    <n v="160.4"/>
    <n v="145"/>
    <n v="152.6"/>
    <n v="156.6"/>
    <n v="157.5"/>
    <n v="152.30000000000001"/>
    <n v="159.5"/>
    <n v="5"/>
  </r>
  <r>
    <s v="Rural+Urban"/>
    <x v="5"/>
    <s v="January"/>
    <d v="2015-01-01T00:00:00"/>
    <s v="Pre-COVID"/>
    <n v="123.4"/>
    <n v="123.9"/>
    <n v="123.8"/>
    <n v="125"/>
    <n v="108.5"/>
    <n v="126.2"/>
    <n v="133"/>
    <n v="119.1"/>
    <n v="99"/>
    <n v="120.3"/>
    <n v="117.3"/>
    <n v="126.7"/>
    <n v="123.1"/>
    <n v="124"/>
    <n v="123.1"/>
    <n v="119.3"/>
    <n v="122.5"/>
    <n v="117.3"/>
    <n v="116.5"/>
    <n v="118.1"/>
    <n v="115.5"/>
    <n v="109.4"/>
    <n v="114.3"/>
    <n v="119.7"/>
    <n v="110.7"/>
    <n v="114"/>
    <n v="119.5"/>
    <n v="1"/>
  </r>
  <r>
    <s v="Rural"/>
    <x v="4"/>
    <s v="June"/>
    <d v="2021-06-01T00:00:00"/>
    <s v="Post-COVID"/>
    <n v="145.6"/>
    <n v="200.1"/>
    <n v="179.3"/>
    <n v="156.1"/>
    <n v="190.4"/>
    <n v="158.6"/>
    <n v="144.69999999999999"/>
    <n v="165.5"/>
    <n v="114.6"/>
    <n v="170"/>
    <n v="165.5"/>
    <n v="171.7"/>
    <n v="160.5"/>
    <n v="189.1"/>
    <n v="165.3"/>
    <n v="159.9"/>
    <n v="164.6"/>
    <n v="141"/>
    <n v="162.1"/>
    <n v="159.19999999999999"/>
    <n v="169.7"/>
    <n v="154.19999999999999"/>
    <n v="160.4"/>
    <n v="166.8"/>
    <n v="159.4"/>
    <n v="161.5"/>
    <n v="162.1"/>
    <n v="6"/>
  </r>
  <r>
    <s v="Urban"/>
    <x v="4"/>
    <s v="June"/>
    <d v="2021-06-01T00:00:00"/>
    <s v="Post-COVID"/>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n v="6"/>
  </r>
  <r>
    <s v="Rural+Urban"/>
    <x v="3"/>
    <s v="December"/>
    <d v="2014-12-01T00:00:00"/>
    <s v="Pre-COVID"/>
    <n v="122.9"/>
    <n v="123.2"/>
    <n v="123.5"/>
    <n v="124.5"/>
    <n v="107.6"/>
    <n v="125.7"/>
    <n v="140.5"/>
    <n v="117.6"/>
    <n v="100.6"/>
    <n v="119.1"/>
    <n v="116.8"/>
    <n v="126.1"/>
    <n v="123.6"/>
    <n v="123"/>
    <n v="122.6"/>
    <n v="118.6"/>
    <n v="122"/>
    <n v="116.5"/>
    <n v="115.7"/>
    <n v="117.5"/>
    <n v="115.1"/>
    <n v="110.1"/>
    <n v="113.9"/>
    <n v="119.5"/>
    <n v="109.8"/>
    <n v="113.8"/>
    <n v="119.4"/>
    <n v="12"/>
  </r>
  <r>
    <s v="Rural"/>
    <x v="4"/>
    <s v="July"/>
    <d v="2021-07-01T00:00:00"/>
    <s v="Post-COVID"/>
    <n v="145.1"/>
    <n v="204.5"/>
    <n v="180.4"/>
    <n v="157.1"/>
    <n v="188.7"/>
    <n v="157.69999999999999"/>
    <n v="152.80000000000001"/>
    <n v="163.6"/>
    <n v="113.9"/>
    <n v="169.7"/>
    <n v="166.2"/>
    <n v="171"/>
    <n v="161.69999999999999"/>
    <n v="189.7"/>
    <n v="166"/>
    <n v="161.1"/>
    <n v="165.3"/>
    <n v="141"/>
    <n v="162.5"/>
    <n v="160.30000000000001"/>
    <n v="170.4"/>
    <n v="157.1"/>
    <n v="160.69999999999999"/>
    <n v="167.2"/>
    <n v="160.4"/>
    <n v="162.80000000000001"/>
    <n v="163.19999999999999"/>
    <n v="7"/>
  </r>
  <r>
    <s v="Urban"/>
    <x v="4"/>
    <s v="July"/>
    <d v="2021-07-01T00:00:00"/>
    <s v="Post-COVID"/>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n v="7"/>
  </r>
  <r>
    <s v="Rural+Urban"/>
    <x v="3"/>
    <s v="November"/>
    <d v="2014-11-01T00:00:00"/>
    <s v="Pre-COVID"/>
    <n v="123.3"/>
    <n v="123.7"/>
    <n v="121"/>
    <n v="124.2"/>
    <n v="107.8"/>
    <n v="125.7"/>
    <n v="152.4"/>
    <n v="117.2"/>
    <n v="102.1"/>
    <n v="118.7"/>
    <n v="116.4"/>
    <n v="125.6"/>
    <n v="125.1"/>
    <n v="122.1"/>
    <n v="122.1"/>
    <n v="118.4"/>
    <n v="121.6"/>
    <n v="117.1"/>
    <n v="115.5"/>
    <n v="117.3"/>
    <n v="114.8"/>
    <n v="110.8"/>
    <n v="113.7"/>
    <n v="119"/>
    <n v="109.1"/>
    <n v="113.8"/>
    <n v="120.1"/>
    <n v="11"/>
  </r>
  <r>
    <s v="Rural"/>
    <x v="4"/>
    <s v="August"/>
    <d v="2021-08-01T00:00:00"/>
    <s v="Post-COVID"/>
    <n v="144.9"/>
    <n v="202.3"/>
    <n v="176.5"/>
    <n v="157.5"/>
    <n v="190.9"/>
    <n v="155.69999999999999"/>
    <n v="153.9"/>
    <n v="162.80000000000001"/>
    <n v="115.2"/>
    <n v="169.8"/>
    <n v="167.6"/>
    <n v="171.9"/>
    <n v="161.80000000000001"/>
    <n v="190.2"/>
    <n v="167"/>
    <n v="162.6"/>
    <n v="166.3"/>
    <n v="141"/>
    <n v="163.1"/>
    <n v="160.9"/>
    <n v="171.1"/>
    <n v="157.69999999999999"/>
    <n v="161.1"/>
    <n v="167.5"/>
    <n v="160.30000000000001"/>
    <n v="163.30000000000001"/>
    <n v="163.6"/>
    <n v="8"/>
  </r>
  <r>
    <s v="Urban"/>
    <x v="4"/>
    <s v="August"/>
    <d v="2021-08-01T00:00:00"/>
    <s v="Post-COVID"/>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n v="8"/>
  </r>
  <r>
    <s v="Rural+Urban"/>
    <x v="3"/>
    <s v="October"/>
    <d v="2014-10-01T00:00:00"/>
    <s v="Pre-COVID"/>
    <n v="123.2"/>
    <n v="123.8"/>
    <n v="118.1"/>
    <n v="123.2"/>
    <n v="107.9"/>
    <n v="126.4"/>
    <n v="156.80000000000001"/>
    <n v="116.1"/>
    <n v="103.1"/>
    <n v="118.1"/>
    <n v="116.1"/>
    <n v="124.5"/>
    <n v="125.4"/>
    <n v="121.1"/>
    <n v="121.5"/>
    <n v="118.1"/>
    <n v="121"/>
    <n v="116.7"/>
    <n v="114.7"/>
    <n v="116.7"/>
    <n v="114.3"/>
    <n v="111.8"/>
    <n v="113.3"/>
    <n v="118.8"/>
    <n v="109.6"/>
    <n v="113.9"/>
    <n v="120.1"/>
    <n v="10"/>
  </r>
  <r>
    <s v="Rural"/>
    <x v="4"/>
    <s v="September"/>
    <d v="2021-09-01T00:00:00"/>
    <s v="Post-COVID"/>
    <n v="145.4"/>
    <n v="202.1"/>
    <n v="172"/>
    <n v="158"/>
    <n v="195.5"/>
    <n v="152.69999999999999"/>
    <n v="151.4"/>
    <n v="163.9"/>
    <n v="119.3"/>
    <n v="170.1"/>
    <n v="168.3"/>
    <n v="172.8"/>
    <n v="162.1"/>
    <n v="190.5"/>
    <n v="167.7"/>
    <n v="163.6"/>
    <n v="167.1"/>
    <n v="141"/>
    <n v="163.69999999999999"/>
    <n v="161.30000000000001"/>
    <n v="171.9"/>
    <n v="157.80000000000001"/>
    <n v="162.69999999999999"/>
    <n v="168.5"/>
    <n v="160.19999999999999"/>
    <n v="163.80000000000001"/>
    <n v="164"/>
    <n v="9"/>
  </r>
  <r>
    <s v="Urban"/>
    <x v="4"/>
    <s v="September"/>
    <d v="2021-09-01T00:00:00"/>
    <s v="Post-COVID"/>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n v="9"/>
  </r>
  <r>
    <s v="Rural+Urban"/>
    <x v="3"/>
    <s v="September"/>
    <d v="2014-09-01T00:00:00"/>
    <s v="Pre-COVID"/>
    <n v="122.9"/>
    <n v="123.5"/>
    <n v="117.3"/>
    <n v="122.7"/>
    <n v="107.9"/>
    <n v="127.3"/>
    <n v="162.1"/>
    <n v="115.6"/>
    <n v="103.8"/>
    <n v="117.6"/>
    <n v="115.8"/>
    <n v="123.8"/>
    <n v="125.8"/>
    <n v="120.8"/>
    <n v="120.7"/>
    <n v="117.2"/>
    <n v="120.1"/>
    <n v="116.1"/>
    <n v="114.3"/>
    <n v="116.1"/>
    <n v="113.7"/>
    <n v="112"/>
    <n v="113.1"/>
    <n v="118.6"/>
    <n v="109.5"/>
    <n v="113.7"/>
    <n v="120.1"/>
    <n v="9"/>
  </r>
  <r>
    <s v="Rural"/>
    <x v="4"/>
    <s v="October"/>
    <d v="2021-10-01T00:00:00"/>
    <s v="Post-COVID"/>
    <n v="146.1"/>
    <n v="202.5"/>
    <n v="170.1"/>
    <n v="158.4"/>
    <n v="198.8"/>
    <n v="152.6"/>
    <n v="170.4"/>
    <n v="165.2"/>
    <n v="121.6"/>
    <n v="170.6"/>
    <n v="168.8"/>
    <n v="173.6"/>
    <n v="165.5"/>
    <n v="191.2"/>
    <n v="168.9"/>
    <n v="164.8"/>
    <n v="168.3"/>
    <n v="141"/>
    <n v="165.5"/>
    <n v="162"/>
    <n v="172.5"/>
    <n v="159.5"/>
    <n v="163.19999999999999"/>
    <n v="169"/>
    <n v="161.1"/>
    <n v="164.7"/>
    <n v="166.3"/>
    <n v="10"/>
  </r>
  <r>
    <s v="Urban"/>
    <x v="4"/>
    <s v="October"/>
    <d v="2021-10-01T00:00:00"/>
    <s v="Post-COVID"/>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n v="10"/>
  </r>
  <r>
    <s v="Rural+Urban"/>
    <x v="3"/>
    <s v="August"/>
    <d v="2014-08-01T00:00:00"/>
    <s v="Pre-COVID"/>
    <n v="122.7"/>
    <n v="124.4"/>
    <n v="117.3"/>
    <n v="122"/>
    <n v="108"/>
    <n v="131.1"/>
    <n v="168.2"/>
    <n v="114.5"/>
    <n v="104.3"/>
    <n v="117.1"/>
    <n v="115.2"/>
    <n v="123.1"/>
    <n v="126.6"/>
    <n v="119.9"/>
    <n v="120"/>
    <n v="116.8"/>
    <n v="119.6"/>
    <n v="115.5"/>
    <n v="114"/>
    <n v="115.6"/>
    <n v="113.3"/>
    <n v="112.8"/>
    <n v="112.6"/>
    <n v="118"/>
    <n v="109.9"/>
    <n v="113.7"/>
    <n v="120.3"/>
    <n v="8"/>
  </r>
  <r>
    <s v="Rural"/>
    <x v="4"/>
    <s v="November"/>
    <d v="2021-11-01T00:00:00"/>
    <s v="Post-COVID"/>
    <n v="146.9"/>
    <n v="199.8"/>
    <n v="171.5"/>
    <n v="159.1"/>
    <n v="198.4"/>
    <n v="153.19999999999999"/>
    <n v="183.9"/>
    <n v="165.4"/>
    <n v="122.1"/>
    <n v="170.8"/>
    <n v="169.1"/>
    <n v="174.3"/>
    <n v="167.5"/>
    <n v="191.4"/>
    <n v="170.4"/>
    <n v="166"/>
    <n v="169.8"/>
    <n v="141"/>
    <n v="165.3"/>
    <n v="162.9"/>
    <n v="173.4"/>
    <n v="158.9"/>
    <n v="163.80000000000001"/>
    <n v="169.3"/>
    <n v="162.4"/>
    <n v="165.2"/>
    <n v="167.6"/>
    <n v="11"/>
  </r>
  <r>
    <s v="Urban"/>
    <x v="4"/>
    <s v="November"/>
    <d v="2021-11-01T00:00:00"/>
    <s v="Post-COVID"/>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n v="11"/>
  </r>
  <r>
    <s v="Rural+Urban"/>
    <x v="3"/>
    <s v="July"/>
    <d v="2014-07-01T00:00:00"/>
    <s v="Pre-COVID"/>
    <n v="122.4"/>
    <n v="123.9"/>
    <n v="117.8"/>
    <n v="121"/>
    <n v="107.9"/>
    <n v="131.19999999999999"/>
    <n v="157.69999999999999"/>
    <n v="113.2"/>
    <n v="104.1"/>
    <n v="115.5"/>
    <n v="114.8"/>
    <n v="122.1"/>
    <n v="124.7"/>
    <n v="118.8"/>
    <n v="119.6"/>
    <n v="116.3"/>
    <n v="119.1"/>
    <n v="114.8"/>
    <n v="113.9"/>
    <n v="115.2"/>
    <n v="112.7"/>
    <n v="113.1"/>
    <n v="112.1"/>
    <n v="116.8"/>
    <n v="109.2"/>
    <n v="113.3"/>
    <n v="119.2"/>
    <n v="7"/>
  </r>
  <r>
    <s v="Rural"/>
    <x v="4"/>
    <s v="December"/>
    <d v="2021-12-01T00:00:00"/>
    <s v="Post-COVID"/>
    <n v="147.4"/>
    <n v="197"/>
    <n v="176.5"/>
    <n v="159.80000000000001"/>
    <n v="195.8"/>
    <n v="152"/>
    <n v="172.3"/>
    <n v="164.5"/>
    <n v="120.6"/>
    <n v="171.7"/>
    <n v="169.7"/>
    <n v="175.1"/>
    <n v="165.8"/>
    <n v="190.8"/>
    <n v="171.8"/>
    <n v="167.3"/>
    <n v="171.2"/>
    <n v="141"/>
    <n v="165.6"/>
    <n v="163.9"/>
    <n v="174"/>
    <n v="160.1"/>
    <n v="164.5"/>
    <n v="169.7"/>
    <n v="162.80000000000001"/>
    <n v="166"/>
    <n v="167"/>
    <n v="12"/>
  </r>
  <r>
    <s v="Urban"/>
    <x v="4"/>
    <s v="December"/>
    <d v="2021-12-01T00:00:00"/>
    <s v="Post-COVID"/>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n v="12"/>
  </r>
  <r>
    <s v="Rural+Urban"/>
    <x v="3"/>
    <s v="June"/>
    <d v="2014-06-01T00:00:00"/>
    <s v="Pre-COVID"/>
    <n v="121.5"/>
    <n v="123.1"/>
    <n v="115.8"/>
    <n v="119.7"/>
    <n v="107.8"/>
    <n v="128.30000000000001"/>
    <n v="132.1"/>
    <n v="112.4"/>
    <n v="102.9"/>
    <n v="114.3"/>
    <n v="114.2"/>
    <n v="121.2"/>
    <n v="120.4"/>
    <n v="117.8"/>
    <n v="118.8"/>
    <n v="115.6"/>
    <n v="118.3"/>
    <n v="113.9"/>
    <n v="113.2"/>
    <n v="114.6"/>
    <n v="112.3"/>
    <n v="111.8"/>
    <n v="111.6"/>
    <n v="114.8"/>
    <n v="108.3"/>
    <n v="112.3"/>
    <n v="116.7"/>
    <n v="6"/>
  </r>
  <r>
    <s v="Rural"/>
    <x v="2"/>
    <s v="January"/>
    <d v="2022-01-01T00:00:00"/>
    <s v="Post-COVID"/>
    <n v="148.30000000000001"/>
    <n v="196.9"/>
    <n v="178"/>
    <n v="160.5"/>
    <n v="192.6"/>
    <n v="151.19999999999999"/>
    <n v="159.19999999999999"/>
    <n v="164"/>
    <n v="119.3"/>
    <n v="173.3"/>
    <n v="169.8"/>
    <n v="175.8"/>
    <n v="164.1"/>
    <n v="190.7"/>
    <n v="173.2"/>
    <n v="169.3"/>
    <n v="172.7"/>
    <n v="141"/>
    <n v="165.8"/>
    <n v="164.9"/>
    <n v="174.7"/>
    <n v="160.80000000000001"/>
    <n v="164.9"/>
    <n v="169.9"/>
    <n v="163.19999999999999"/>
    <n v="166.6"/>
    <n v="166.4"/>
    <n v="1"/>
  </r>
  <r>
    <s v="Urban"/>
    <x v="2"/>
    <s v="January"/>
    <d v="2022-01-01T00:00:00"/>
    <s v="Post-COVID"/>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n v="1"/>
  </r>
  <r>
    <s v="Rural+Urban"/>
    <x v="3"/>
    <s v="May"/>
    <d v="2014-05-01T00:00:00"/>
    <s v="Pre-COVID"/>
    <n v="121.1"/>
    <n v="121.6"/>
    <n v="115.9"/>
    <n v="118.4"/>
    <n v="107.7"/>
    <n v="127.7"/>
    <n v="125"/>
    <n v="111.9"/>
    <n v="102.8"/>
    <n v="113.4"/>
    <n v="113.7"/>
    <n v="120.4"/>
    <n v="118.9"/>
    <n v="116.8"/>
    <n v="118"/>
    <n v="115.2"/>
    <n v="117.6"/>
    <n v="114.3"/>
    <n v="112.5"/>
    <n v="114.1"/>
    <n v="111.8"/>
    <n v="111.3"/>
    <n v="111.2"/>
    <n v="113"/>
    <n v="109.1"/>
    <n v="111.8"/>
    <n v="115.8"/>
    <n v="5"/>
  </r>
  <r>
    <s v="Rural"/>
    <x v="2"/>
    <s v="February"/>
    <d v="2022-02-01T00:00:00"/>
    <s v="Post-COVID"/>
    <n v="148.80000000000001"/>
    <n v="198.1"/>
    <n v="175.5"/>
    <n v="160.69999999999999"/>
    <n v="192.6"/>
    <n v="151.4"/>
    <n v="155.19999999999999"/>
    <n v="163.9"/>
    <n v="118.1"/>
    <n v="175.4"/>
    <n v="170.5"/>
    <n v="176.3"/>
    <n v="163.9"/>
    <n v="191.5"/>
    <n v="174.1"/>
    <n v="171"/>
    <n v="173.7"/>
    <n v="141"/>
    <n v="167.4"/>
    <n v="165.7"/>
    <n v="175.3"/>
    <n v="161.19999999999999"/>
    <n v="165.5"/>
    <n v="170.3"/>
    <n v="164.5"/>
    <n v="167.3"/>
    <n v="166.7"/>
    <n v="2"/>
  </r>
  <r>
    <s v="Urban"/>
    <x v="2"/>
    <s v="February"/>
    <d v="2022-02-01T00:00:00"/>
    <s v="Post-COVID"/>
    <n v="152.5"/>
    <n v="205.2"/>
    <n v="176.4"/>
    <n v="160.6"/>
    <n v="171.5"/>
    <n v="156.4"/>
    <n v="198"/>
    <n v="163.19999999999999"/>
    <n v="120.6"/>
    <n v="172.2"/>
    <n v="156.69999999999999"/>
    <n v="180"/>
    <n v="170.2"/>
    <n v="196.5"/>
    <n v="165.7"/>
    <n v="150.4"/>
    <n v="163.4"/>
    <n v="165.5"/>
    <n v="163"/>
    <n v="157.4"/>
    <n v="167.2"/>
    <n v="153.1"/>
    <n v="159.5"/>
    <n v="162"/>
    <n v="164.2"/>
    <n v="159.4"/>
    <n v="165.5"/>
    <n v="2"/>
  </r>
  <r>
    <s v="Rural+Urban"/>
    <x v="3"/>
    <s v="April"/>
    <d v="2014-04-01T00:00:00"/>
    <s v="Pre-COVID"/>
    <n v="120.9"/>
    <n v="119.9"/>
    <n v="116.2"/>
    <n v="117"/>
    <n v="107.3"/>
    <n v="126.1"/>
    <n v="120.7"/>
    <n v="111"/>
    <n v="101.8"/>
    <n v="112.6"/>
    <n v="113.2"/>
    <n v="119.8"/>
    <n v="117.6"/>
    <n v="116"/>
    <n v="117.4"/>
    <n v="114.6"/>
    <n v="117"/>
    <n v="113.9"/>
    <n v="112.5"/>
    <n v="113.6"/>
    <n v="111.5"/>
    <n v="111.2"/>
    <n v="110.9"/>
    <n v="112.7"/>
    <n v="109"/>
    <n v="111.5"/>
    <n v="115.1"/>
    <n v="4"/>
  </r>
  <r>
    <s v="Rural"/>
    <x v="2"/>
    <s v="March"/>
    <d v="2022-03-01T00:00:00"/>
    <s v="Post-COVID"/>
    <n v="150.19999999999999"/>
    <n v="208"/>
    <n v="167.9"/>
    <n v="162"/>
    <n v="203.1"/>
    <n v="155.9"/>
    <n v="155.80000000000001"/>
    <n v="164.2"/>
    <n v="118.1"/>
    <n v="178.7"/>
    <n v="171.2"/>
    <n v="177.4"/>
    <n v="166.6"/>
    <n v="192.3"/>
    <n v="175.4"/>
    <n v="173.2"/>
    <n v="175.1"/>
    <n v="141"/>
    <n v="168.9"/>
    <n v="166.5"/>
    <n v="176"/>
    <n v="162"/>
    <n v="166.6"/>
    <n v="170.6"/>
    <n v="167.4"/>
    <n v="168.3"/>
    <n v="168.7"/>
    <n v="3"/>
  </r>
  <r>
    <s v="Urban"/>
    <x v="2"/>
    <s v="March"/>
    <d v="2022-03-01T00:00:00"/>
    <s v="Post-COVID"/>
    <n v="153.69999999999999"/>
    <n v="215.8"/>
    <n v="167.7"/>
    <n v="162.6"/>
    <n v="180"/>
    <n v="159.6"/>
    <n v="188.4"/>
    <n v="163.4"/>
    <n v="120.3"/>
    <n v="174.7"/>
    <n v="157.1"/>
    <n v="181.5"/>
    <n v="171.5"/>
    <n v="197.5"/>
    <n v="167.1"/>
    <n v="152.6"/>
    <n v="164.9"/>
    <n v="165.3"/>
    <n v="164.5"/>
    <n v="158.6"/>
    <n v="168.2"/>
    <n v="154.19999999999999"/>
    <n v="160.80000000000001"/>
    <n v="162.69999999999999"/>
    <n v="166.8"/>
    <n v="160.6"/>
    <n v="166.5"/>
    <n v="3"/>
  </r>
  <r>
    <s v="Rural+Urban"/>
    <x v="3"/>
    <s v="March"/>
    <d v="2014-03-01T00:00:00"/>
    <s v="Pre-COVID"/>
    <n v="120.7"/>
    <n v="119.3"/>
    <n v="121"/>
    <n v="116.1"/>
    <n v="106.9"/>
    <n v="118.7"/>
    <n v="116.3"/>
    <n v="109.8"/>
    <n v="99.6"/>
    <n v="111.8"/>
    <n v="112.7"/>
    <n v="119.3"/>
    <n v="116.1"/>
    <n v="115.2"/>
    <n v="116.8"/>
    <n v="113.7"/>
    <n v="116.4"/>
    <n v="113.2"/>
    <n v="112.5"/>
    <n v="113.2"/>
    <n v="111.2"/>
    <n v="111.4"/>
    <n v="110.6"/>
    <n v="112"/>
    <n v="109"/>
    <n v="111.3"/>
    <n v="114.2"/>
    <n v="3"/>
  </r>
  <r>
    <s v="Rural"/>
    <x v="2"/>
    <s v="April"/>
    <d v="2022-04-01T00:00:00"/>
    <s v="Post-COVID"/>
    <n v="151.80000000000001"/>
    <n v="209.7"/>
    <n v="164.5"/>
    <n v="163.80000000000001"/>
    <n v="207.4"/>
    <n v="169.7"/>
    <n v="153.6"/>
    <n v="165.1"/>
    <n v="118.2"/>
    <n v="182.9"/>
    <n v="172.4"/>
    <n v="178.9"/>
    <n v="168.6"/>
    <n v="192.8"/>
    <n v="177.5"/>
    <n v="175.1"/>
    <n v="177.1"/>
    <n v="141"/>
    <n v="173.3"/>
    <n v="167.7"/>
    <n v="177"/>
    <n v="166.2"/>
    <n v="167.2"/>
    <n v="170.9"/>
    <n v="169"/>
    <n v="170.2"/>
    <n v="170.8"/>
    <n v="4"/>
  </r>
  <r>
    <s v="Urban"/>
    <x v="2"/>
    <s v="April"/>
    <d v="2022-04-01T00:00:00"/>
    <s v="Post-COVID"/>
    <n v="155.4"/>
    <n v="215.8"/>
    <n v="164.6"/>
    <n v="164.2"/>
    <n v="186"/>
    <n v="175.9"/>
    <n v="190.7"/>
    <n v="164"/>
    <n v="120.5"/>
    <n v="178"/>
    <n v="157.5"/>
    <n v="183.3"/>
    <n v="174.5"/>
    <n v="197.1"/>
    <n v="168.4"/>
    <n v="154.5"/>
    <n v="166.3"/>
    <n v="167"/>
    <n v="170.5"/>
    <n v="159.80000000000001"/>
    <n v="169"/>
    <n v="159.30000000000001"/>
    <n v="162.19999999999999"/>
    <n v="164"/>
    <n v="168.4"/>
    <n v="163.1"/>
    <n v="169.2"/>
    <n v="4"/>
  </r>
  <r>
    <s v="Rural+Urban"/>
    <x v="3"/>
    <s v="February"/>
    <d v="2014-02-01T00:00:00"/>
    <s v="Pre-COVID"/>
    <n v="120.2"/>
    <n v="119.2"/>
    <n v="122.5"/>
    <n v="115.1"/>
    <n v="106.6"/>
    <n v="115.4"/>
    <n v="114.5"/>
    <n v="109.3"/>
    <n v="99.2"/>
    <n v="111.4"/>
    <n v="112.6"/>
    <n v="118.8"/>
    <n v="115.3"/>
    <n v="114.7"/>
    <n v="116.4"/>
    <n v="113.3"/>
    <n v="115.9"/>
    <n v="112.5"/>
    <n v="112.4"/>
    <n v="112.8"/>
    <n v="110.7"/>
    <n v="111.1"/>
    <n v="110.1"/>
    <n v="111.8"/>
    <n v="108.7"/>
    <n v="110.9"/>
    <n v="113.6"/>
    <n v="2"/>
  </r>
  <r>
    <s v="Rural"/>
    <x v="2"/>
    <s v="May"/>
    <d v="2022-05-01T00:00:00"/>
    <s v="Post-COVID"/>
    <n v="152.9"/>
    <n v="214.7"/>
    <n v="161.4"/>
    <n v="164.6"/>
    <n v="209.9"/>
    <n v="168"/>
    <n v="160.4"/>
    <n v="165"/>
    <n v="118.9"/>
    <n v="186.6"/>
    <n v="173.2"/>
    <n v="180.4"/>
    <n v="170.8"/>
    <n v="192.9"/>
    <n v="179.3"/>
    <n v="177.2"/>
    <n v="179"/>
    <n v="141"/>
    <n v="175.3"/>
    <n v="168.9"/>
    <n v="177.7"/>
    <n v="167.1"/>
    <n v="167.6"/>
    <n v="171.8"/>
    <n v="168.5"/>
    <n v="170.9"/>
    <n v="172.5"/>
    <n v="5"/>
  </r>
  <r>
    <s v="Urban"/>
    <x v="2"/>
    <s v="May"/>
    <d v="2022-05-01T00:00:00"/>
    <s v="Post-COVID"/>
    <n v="156.69999999999999"/>
    <n v="221.2"/>
    <n v="164.1"/>
    <n v="165.4"/>
    <n v="189.5"/>
    <n v="174.5"/>
    <n v="203.2"/>
    <n v="164.1"/>
    <n v="121.2"/>
    <n v="181.4"/>
    <n v="158.5"/>
    <n v="184.9"/>
    <n v="177.5"/>
    <n v="197.5"/>
    <n v="170"/>
    <n v="155.9"/>
    <n v="167.8"/>
    <n v="167.5"/>
    <n v="173.5"/>
    <n v="161.1"/>
    <n v="170.1"/>
    <n v="159.4"/>
    <n v="163.19999999999999"/>
    <n v="165.2"/>
    <n v="168.2"/>
    <n v="163.80000000000001"/>
    <n v="170.8"/>
    <n v="5"/>
  </r>
  <r>
    <s v="Rural+Urban"/>
    <x v="3"/>
    <s v="January"/>
    <d v="2014-01-01T00:00:00"/>
    <s v="Pre-COVID"/>
    <n v="119.6"/>
    <n v="118.8"/>
    <n v="124.1"/>
    <n v="114.1"/>
    <n v="106.8"/>
    <n v="113.9"/>
    <n v="122.2"/>
    <n v="108.9"/>
    <n v="100.2"/>
    <n v="111"/>
    <n v="112.3"/>
    <n v="118.1"/>
    <n v="115.8"/>
    <n v="114.5"/>
    <n v="115.8"/>
    <n v="113.2"/>
    <n v="115.4"/>
    <n v="111.6"/>
    <n v="112.2"/>
    <n v="112.3"/>
    <n v="110.3"/>
    <n v="110.7"/>
    <n v="109.7"/>
    <n v="111.6"/>
    <n v="108.2"/>
    <n v="110.6"/>
    <n v="113.6"/>
    <n v="1"/>
  </r>
  <r>
    <s v="Rural"/>
    <x v="2"/>
    <s v="June"/>
    <d v="2022-06-01T00:00:00"/>
    <s v="Post-COVID"/>
    <n v="153.80000000000001"/>
    <n v="217.2"/>
    <n v="169.6"/>
    <n v="165.4"/>
    <n v="208.1"/>
    <n v="165.8"/>
    <n v="167.3"/>
    <n v="164.6"/>
    <n v="119.1"/>
    <n v="188.9"/>
    <n v="174.2"/>
    <n v="181.9"/>
    <n v="172.4"/>
    <n v="192.9"/>
    <n v="180.7"/>
    <n v="178.7"/>
    <n v="180.4"/>
    <n v="141"/>
    <n v="176.7"/>
    <n v="170.3"/>
    <n v="178.2"/>
    <n v="165.5"/>
    <n v="168"/>
    <n v="172.6"/>
    <n v="169.5"/>
    <n v="171"/>
    <n v="173.6"/>
    <n v="6"/>
  </r>
  <r>
    <s v="Urban"/>
    <x v="2"/>
    <s v="June"/>
    <d v="2022-06-01T00:00:00"/>
    <s v="Post-COVID"/>
    <n v="157.5"/>
    <n v="223.4"/>
    <n v="172.8"/>
    <n v="166.4"/>
    <n v="188.6"/>
    <n v="174.1"/>
    <n v="211.5"/>
    <n v="163.6"/>
    <n v="121.4"/>
    <n v="183.5"/>
    <n v="159.1"/>
    <n v="186.3"/>
    <n v="179.3"/>
    <n v="198.3"/>
    <n v="171.6"/>
    <n v="157.4"/>
    <n v="169.4"/>
    <n v="166.8"/>
    <n v="174.9"/>
    <n v="162.1"/>
    <n v="170.9"/>
    <n v="157.19999999999999"/>
    <n v="164.1"/>
    <n v="166.5"/>
    <n v="169.2"/>
    <n v="163.80000000000001"/>
    <n v="171.4"/>
    <n v="6"/>
  </r>
  <r>
    <s v="Rural+Urban"/>
    <x v="0"/>
    <s v="December"/>
    <d v="2013-12-01T00:00:00"/>
    <s v="Pre-COVID"/>
    <n v="119.1"/>
    <n v="116.7"/>
    <n v="123.5"/>
    <n v="113.4"/>
    <n v="107.3"/>
    <n v="113.3"/>
    <n v="145.4"/>
    <n v="108.7"/>
    <n v="101.5"/>
    <n v="110.5"/>
    <n v="112.1"/>
    <n v="117.4"/>
    <n v="118.4"/>
    <n v="114"/>
    <n v="115.2"/>
    <n v="112.7"/>
    <n v="114.8"/>
    <n v="110.7"/>
    <n v="111.9"/>
    <n v="111.7"/>
    <n v="109.7"/>
    <n v="109.8"/>
    <n v="109"/>
    <n v="111.5"/>
    <n v="107.9"/>
    <n v="110"/>
    <n v="114.5"/>
    <n v="12"/>
  </r>
  <r>
    <s v="Rural"/>
    <x v="2"/>
    <s v="July"/>
    <d v="2022-07-01T00:00:00"/>
    <s v="Post-COVID"/>
    <n v="155.19999999999999"/>
    <n v="210.8"/>
    <n v="174.3"/>
    <n v="166.3"/>
    <n v="202.2"/>
    <n v="169.6"/>
    <n v="168.6"/>
    <n v="164.4"/>
    <n v="119.2"/>
    <n v="191.8"/>
    <n v="174.5"/>
    <n v="183.1"/>
    <n v="172.5"/>
    <n v="193.2"/>
    <n v="182"/>
    <n v="180.3"/>
    <n v="181.7"/>
    <n v="141"/>
    <n v="179.6"/>
    <n v="171.3"/>
    <n v="178.8"/>
    <n v="166.3"/>
    <n v="168.6"/>
    <n v="174.7"/>
    <n v="169.7"/>
    <n v="171.8"/>
    <n v="174.3"/>
    <n v="7"/>
  </r>
  <r>
    <s v="Urban"/>
    <x v="2"/>
    <s v="July"/>
    <d v="2022-07-01T00:00:00"/>
    <s v="Post-COVID"/>
    <n v="159.30000000000001"/>
    <n v="217.1"/>
    <n v="176.6"/>
    <n v="167.1"/>
    <n v="184.8"/>
    <n v="179.5"/>
    <n v="208.5"/>
    <n v="164"/>
    <n v="121.5"/>
    <n v="186.3"/>
    <n v="159.80000000000001"/>
    <n v="187.7"/>
    <n v="179.4"/>
    <n v="198.6"/>
    <n v="172.7"/>
    <n v="158.69999999999999"/>
    <n v="170.6"/>
    <n v="167.8"/>
    <n v="179.5"/>
    <n v="163.1"/>
    <n v="171.7"/>
    <n v="157.4"/>
    <n v="164.6"/>
    <n v="169.1"/>
    <n v="169.8"/>
    <n v="164.7"/>
    <n v="172.3"/>
    <n v="7"/>
  </r>
  <r>
    <s v="Rural+Urban"/>
    <x v="0"/>
    <s v="November"/>
    <d v="2013-11-01T00:00:00"/>
    <s v="Pre-COVID"/>
    <n v="118.1"/>
    <n v="115.4"/>
    <n v="118.7"/>
    <n v="112.5"/>
    <n v="106.8"/>
    <n v="113.5"/>
    <n v="183.1"/>
    <n v="108.2"/>
    <n v="102.2"/>
    <n v="109.4"/>
    <n v="111.8"/>
    <n v="116.5"/>
    <n v="122.6"/>
    <n v="113.1"/>
    <n v="114.2"/>
    <n v="111.9"/>
    <n v="113.8"/>
    <n v="111.1"/>
    <n v="111.6"/>
    <n v="111.1"/>
    <n v="109.3"/>
    <n v="109.5"/>
    <n v="108.6"/>
    <n v="111.2"/>
    <n v="108.1"/>
    <n v="109.7"/>
    <n v="116.3"/>
    <n v="11"/>
  </r>
  <r>
    <s v="Rural"/>
    <x v="2"/>
    <s v="August"/>
    <d v="2022-08-01T00:00:00"/>
    <s v="Post-COVID"/>
    <n v="159.5"/>
    <n v="204.1"/>
    <n v="168.3"/>
    <n v="167.9"/>
    <n v="198.1"/>
    <n v="169.2"/>
    <n v="173.1"/>
    <n v="167.1"/>
    <n v="120.2"/>
    <n v="195.6"/>
    <n v="174.8"/>
    <n v="184"/>
    <n v="173.9"/>
    <n v="193.7"/>
    <n v="183.2"/>
    <n v="181.7"/>
    <n v="183"/>
    <n v="141"/>
    <n v="179.1"/>
    <n v="172.3"/>
    <n v="179.4"/>
    <n v="166.6"/>
    <n v="169.3"/>
    <n v="175.7"/>
    <n v="171.1"/>
    <n v="172.6"/>
    <n v="175.3"/>
    <n v="8"/>
  </r>
  <r>
    <s v="Urban"/>
    <x v="2"/>
    <s v="August"/>
    <d v="2022-08-01T00:00:00"/>
    <s v="Post-COVID"/>
    <n v="162.1"/>
    <n v="210.9"/>
    <n v="170.6"/>
    <n v="168.4"/>
    <n v="182.5"/>
    <n v="177.1"/>
    <n v="213.1"/>
    <n v="167.3"/>
    <n v="122.2"/>
    <n v="189.7"/>
    <n v="160.5"/>
    <n v="188.9"/>
    <n v="180.4"/>
    <n v="198.7"/>
    <n v="173.7"/>
    <n v="160"/>
    <n v="171.6"/>
    <n v="169"/>
    <n v="178.4"/>
    <n v="164.2"/>
    <n v="172.6"/>
    <n v="157.69999999999999"/>
    <n v="165.1"/>
    <n v="169.9"/>
    <n v="171.4"/>
    <n v="165.4"/>
    <n v="173.1"/>
    <n v="8"/>
  </r>
  <r>
    <s v="Rural+Urban"/>
    <x v="0"/>
    <s v="October"/>
    <d v="2013-10-01T00:00:00"/>
    <s v="Pre-COVID"/>
    <n v="117.1"/>
    <n v="116.3"/>
    <n v="113.3"/>
    <n v="111.2"/>
    <n v="105.7"/>
    <n v="109.9"/>
    <n v="171.2"/>
    <n v="107.3"/>
    <n v="102.7"/>
    <n v="108.7"/>
    <n v="111.2"/>
    <n v="115.4"/>
    <n v="120.2"/>
    <n v="112.5"/>
    <n v="113.2"/>
    <n v="111.2"/>
    <n v="112.8"/>
    <n v="110.5"/>
    <n v="110.9"/>
    <n v="110.3"/>
    <n v="108.6"/>
    <n v="109.5"/>
    <n v="108.1"/>
    <n v="110.8"/>
    <n v="107.4"/>
    <n v="109.2"/>
    <n v="114.8"/>
    <n v="10"/>
  </r>
  <r>
    <s v="Rural"/>
    <x v="2"/>
    <s v="September"/>
    <d v="2022-09-01T00:00:00"/>
    <s v="Post-COVID"/>
    <n v="162.9"/>
    <n v="206.7"/>
    <n v="169"/>
    <n v="169.5"/>
    <n v="194.1"/>
    <n v="164.1"/>
    <n v="176.9"/>
    <n v="169"/>
    <n v="120.8"/>
    <n v="199.1"/>
    <n v="175.4"/>
    <n v="184.8"/>
    <n v="175.5"/>
    <n v="194.5"/>
    <n v="184.7"/>
    <n v="183.3"/>
    <n v="184.5"/>
    <n v="141"/>
    <n v="179.7"/>
    <n v="173.6"/>
    <n v="180.2"/>
    <n v="166.9"/>
    <n v="170"/>
    <n v="176.2"/>
    <n v="170.8"/>
    <n v="173.1"/>
    <n v="176.4"/>
    <n v="9"/>
  </r>
  <r>
    <s v="Urban"/>
    <x v="2"/>
    <s v="September"/>
    <d v="2022-09-01T00:00:00"/>
    <s v="Post-COVID"/>
    <n v="164.9"/>
    <n v="213.7"/>
    <n v="170.9"/>
    <n v="170.1"/>
    <n v="179.3"/>
    <n v="167.5"/>
    <n v="220.8"/>
    <n v="169.2"/>
    <n v="123.1"/>
    <n v="193.6"/>
    <n v="161.1"/>
    <n v="190.4"/>
    <n v="181.8"/>
    <n v="199.7"/>
    <n v="175"/>
    <n v="161.69999999999999"/>
    <n v="173"/>
    <n v="169.5"/>
    <n v="179.2"/>
    <n v="165"/>
    <n v="173.8"/>
    <n v="158.19999999999999"/>
    <n v="165.8"/>
    <n v="170.9"/>
    <n v="171.1"/>
    <n v="166.1"/>
    <n v="174.1"/>
    <n v="9"/>
  </r>
  <r>
    <s v="Rural+Urban"/>
    <x v="0"/>
    <s v="September"/>
    <d v="2013-09-01T00:00:00"/>
    <s v="Pre-COVID"/>
    <n v="116.4"/>
    <n v="116.9"/>
    <n v="112.3"/>
    <n v="110.5"/>
    <n v="105.3"/>
    <n v="107.3"/>
    <n v="160.9"/>
    <n v="107.1"/>
    <n v="103.1"/>
    <n v="108.3"/>
    <n v="110.7"/>
    <n v="114.6"/>
    <n v="118.3"/>
    <n v="112"/>
    <n v="112.2"/>
    <n v="110.4"/>
    <n v="111.9"/>
    <n v="109.7"/>
    <n v="110.5"/>
    <n v="109.6"/>
    <n v="108.1"/>
    <n v="109.9"/>
    <n v="107.5"/>
    <n v="110.6"/>
    <n v="106.8"/>
    <n v="109"/>
    <n v="113.7"/>
    <n v="9"/>
  </r>
  <r>
    <s v="Rural"/>
    <x v="2"/>
    <s v="October"/>
    <d v="2022-10-01T00:00:00"/>
    <s v="Post-COVID"/>
    <n v="164.7"/>
    <n v="208.8"/>
    <n v="170.3"/>
    <n v="170.9"/>
    <n v="191.6"/>
    <n v="162.19999999999999"/>
    <n v="184.8"/>
    <n v="169.7"/>
    <n v="121.1"/>
    <n v="201.6"/>
    <n v="175.8"/>
    <n v="185.6"/>
    <n v="177.4"/>
    <n v="194.9"/>
    <n v="186.1"/>
    <n v="184.4"/>
    <n v="185.9"/>
    <n v="141"/>
    <n v="180.8"/>
    <n v="174.4"/>
    <n v="181.2"/>
    <n v="167.4"/>
    <n v="170.6"/>
    <n v="176.5"/>
    <n v="172"/>
    <n v="173.9"/>
    <n v="177.9"/>
    <n v="10"/>
  </r>
  <r>
    <s v="Urban"/>
    <x v="2"/>
    <s v="October"/>
    <d v="2022-10-01T00:00:00"/>
    <s v="Post-COVID"/>
    <n v="166.4"/>
    <n v="214.9"/>
    <n v="171.9"/>
    <n v="171"/>
    <n v="177.7"/>
    <n v="165.7"/>
    <n v="228.6"/>
    <n v="169.9"/>
    <n v="123.4"/>
    <n v="196.4"/>
    <n v="161.6"/>
    <n v="191.5"/>
    <n v="183.3"/>
    <n v="200.1"/>
    <n v="175.5"/>
    <n v="162.6"/>
    <n v="173.6"/>
    <n v="171.2"/>
    <n v="180"/>
    <n v="166"/>
    <n v="174.7"/>
    <n v="158.80000000000001"/>
    <n v="166.3"/>
    <n v="171.2"/>
    <n v="172.3"/>
    <n v="166.8"/>
    <n v="175.3"/>
    <n v="10"/>
  </r>
  <r>
    <s v="Rural+Urban"/>
    <x v="0"/>
    <s v="August"/>
    <d v="2013-08-01T00:00:00"/>
    <s v="Pre-COVID"/>
    <n v="115.6"/>
    <n v="117.2"/>
    <n v="111.7"/>
    <n v="109.6"/>
    <n v="104.5"/>
    <n v="109.8"/>
    <n v="151.80000000000001"/>
    <n v="106.5"/>
    <n v="103.1"/>
    <n v="107.4"/>
    <n v="110.2"/>
    <n v="113.4"/>
    <n v="116.6"/>
    <n v="111.2"/>
    <n v="111"/>
    <n v="109.4"/>
    <n v="110.7"/>
    <n v="108.9"/>
    <n v="109.7"/>
    <n v="108.7"/>
    <n v="107.5"/>
    <n v="108"/>
    <n v="106.6"/>
    <n v="109.9"/>
    <n v="105.4"/>
    <n v="107.9"/>
    <n v="112.4"/>
    <n v="8"/>
  </r>
  <r>
    <s v="Rural"/>
    <x v="2"/>
    <s v="November"/>
    <d v="2022-11-01T00:00:00"/>
    <s v="Post-COVID"/>
    <n v="166.9"/>
    <n v="207.2"/>
    <n v="180.2"/>
    <n v="172.3"/>
    <n v="194"/>
    <n v="159.1"/>
    <n v="171.6"/>
    <n v="170.2"/>
    <n v="121.5"/>
    <n v="204.8"/>
    <n v="176.4"/>
    <n v="186.9"/>
    <n v="176.6"/>
    <n v="195.5"/>
    <n v="187.2"/>
    <n v="185.2"/>
    <n v="186.9"/>
    <n v="141"/>
    <n v="181.9"/>
    <n v="175.5"/>
    <n v="182.3"/>
    <n v="167.5"/>
    <n v="170.8"/>
    <n v="176.9"/>
    <n v="173.4"/>
    <n v="174.6"/>
    <n v="177.8"/>
    <n v="11"/>
  </r>
  <r>
    <s v="Urban"/>
    <x v="2"/>
    <s v="November"/>
    <d v="2022-11-01T00:00:00"/>
    <s v="Post-COVID"/>
    <n v="168.4"/>
    <n v="213.4"/>
    <n v="183.2"/>
    <n v="172.3"/>
    <n v="180"/>
    <n v="162.6"/>
    <n v="205.5"/>
    <n v="171"/>
    <n v="123.4"/>
    <n v="198.8"/>
    <n v="162.1"/>
    <n v="192.4"/>
    <n v="181.3"/>
    <n v="200.6"/>
    <n v="176.7"/>
    <n v="163.5"/>
    <n v="174.7"/>
    <n v="171.8"/>
    <n v="180.3"/>
    <n v="166.9"/>
    <n v="175.8"/>
    <n v="158.9"/>
    <n v="166.7"/>
    <n v="171.5"/>
    <n v="173.8"/>
    <n v="167.4"/>
    <n v="174.1"/>
    <n v="11"/>
  </r>
  <r>
    <s v="Rural+Urban"/>
    <x v="0"/>
    <s v="July"/>
    <d v="2013-07-01T00:00:00"/>
    <s v="Pre-COVID"/>
    <n v="114.8"/>
    <n v="116.4"/>
    <n v="111.9"/>
    <n v="108.9"/>
    <n v="104.3"/>
    <n v="111.7"/>
    <n v="140"/>
    <n v="106.4"/>
    <n v="103.3"/>
    <n v="106.8"/>
    <n v="109.6"/>
    <n v="112.6"/>
    <n v="114.7"/>
    <n v="110.3"/>
    <n v="110.2"/>
    <n v="108.8"/>
    <n v="110"/>
    <n v="107.7"/>
    <n v="109.2"/>
    <n v="108.2"/>
    <n v="107"/>
    <n v="107.1"/>
    <n v="106.1"/>
    <n v="109.1"/>
    <n v="102.8"/>
    <n v="106.9"/>
    <n v="111"/>
    <n v="7"/>
  </r>
  <r>
    <s v="Rural"/>
    <x v="2"/>
    <s v="December"/>
    <d v="2022-12-01T00:00:00"/>
    <s v="Post-COVID"/>
    <n v="168.8"/>
    <n v="206.9"/>
    <n v="189.1"/>
    <n v="173.4"/>
    <n v="193.9"/>
    <n v="156.69999999999999"/>
    <n v="150.19999999999999"/>
    <n v="170.5"/>
    <n v="121.2"/>
    <n v="207.5"/>
    <n v="176.8"/>
    <n v="187.7"/>
    <n v="174.4"/>
    <n v="195.9"/>
    <n v="188.1"/>
    <n v="185.9"/>
    <n v="187.8"/>
    <n v="141"/>
    <n v="182.8"/>
    <n v="176.4"/>
    <n v="183.5"/>
    <n v="167.8"/>
    <n v="171.2"/>
    <n v="177.3"/>
    <n v="175.7"/>
    <n v="175.5"/>
    <n v="177.1"/>
    <n v="12"/>
  </r>
  <r>
    <s v="Urban"/>
    <x v="2"/>
    <s v="December"/>
    <d v="2022-12-01T00:00:00"/>
    <s v="Post-COVID"/>
    <n v="170.2"/>
    <n v="212.9"/>
    <n v="191.9"/>
    <n v="173.9"/>
    <n v="179.1"/>
    <n v="159.5"/>
    <n v="178.7"/>
    <n v="171.3"/>
    <n v="123.1"/>
    <n v="200.5"/>
    <n v="162.80000000000001"/>
    <n v="193.3"/>
    <n v="178.6"/>
    <n v="201.1"/>
    <n v="177.7"/>
    <n v="164.5"/>
    <n v="175.7"/>
    <n v="170.7"/>
    <n v="180.6"/>
    <n v="167.3"/>
    <n v="177.2"/>
    <n v="159.4"/>
    <n v="167.1"/>
    <n v="171.8"/>
    <n v="176"/>
    <n v="168.2"/>
    <n v="174.1"/>
    <n v="12"/>
  </r>
  <r>
    <s v="Rural+Urban"/>
    <x v="0"/>
    <s v="June"/>
    <d v="2013-06-01T00:00:00"/>
    <s v="Pre-COVID"/>
    <n v="113.8"/>
    <n v="114.9"/>
    <n v="109.8"/>
    <n v="107.9"/>
    <n v="104.2"/>
    <n v="110.7"/>
    <n v="126.7"/>
    <n v="106.3"/>
    <n v="103.2"/>
    <n v="105.7"/>
    <n v="109"/>
    <n v="111.6"/>
    <n v="112.2"/>
    <n v="109.5"/>
    <n v="109.5"/>
    <n v="108.1"/>
    <n v="109.3"/>
    <n v="106.6"/>
    <n v="108.3"/>
    <n v="107.6"/>
    <n v="106.4"/>
    <n v="105.1"/>
    <n v="105.4"/>
    <n v="107.4"/>
    <n v="102.8"/>
    <n v="105.8"/>
    <n v="109.3"/>
    <n v="6"/>
  </r>
  <r>
    <s v="Rural"/>
    <x v="1"/>
    <s v="January"/>
    <d v="2023-01-01T00:00:00"/>
    <s v="Post-COVID"/>
    <n v="174"/>
    <n v="208.3"/>
    <n v="192.9"/>
    <n v="174.3"/>
    <n v="192.6"/>
    <n v="156.30000000000001"/>
    <n v="142.9"/>
    <n v="170.7"/>
    <n v="120.3"/>
    <n v="210.5"/>
    <n v="176.9"/>
    <n v="188.5"/>
    <n v="175"/>
    <n v="196.9"/>
    <n v="189"/>
    <n v="186.3"/>
    <n v="188.6"/>
    <n v="141"/>
    <n v="183.2"/>
    <n v="177.2"/>
    <n v="184.7"/>
    <n v="168.2"/>
    <n v="171.8"/>
    <n v="177.8"/>
    <n v="178.4"/>
    <n v="176.5"/>
    <n v="177.8"/>
    <n v="1"/>
  </r>
  <r>
    <s v="Urban"/>
    <x v="1"/>
    <s v="January"/>
    <d v="2023-01-01T00:00:00"/>
    <s v="Post-COVID"/>
    <n v="173.3"/>
    <n v="215.2"/>
    <n v="197"/>
    <n v="175.2"/>
    <n v="178"/>
    <n v="160.5"/>
    <n v="175.3"/>
    <n v="171.2"/>
    <n v="122.7"/>
    <n v="204.3"/>
    <n v="163.69999999999999"/>
    <n v="194.3"/>
    <n v="179.5"/>
    <n v="201.6"/>
    <n v="178.7"/>
    <n v="165.3"/>
    <n v="176.6"/>
    <n v="172.1"/>
    <n v="180.1"/>
    <n v="168"/>
    <n v="178.5"/>
    <n v="159.5"/>
    <n v="167.8"/>
    <n v="171.8"/>
    <n v="178.8"/>
    <n v="168.9"/>
    <n v="174.9"/>
    <n v="1"/>
  </r>
  <r>
    <s v="Rural+Urban"/>
    <x v="0"/>
    <s v="May"/>
    <d v="2013-05-01T00:00:00"/>
    <s v="Pre-COVID"/>
    <n v="112.3"/>
    <n v="111.3"/>
    <n v="104.7"/>
    <n v="106.8"/>
    <n v="103.9"/>
    <n v="109.3"/>
    <n v="112.9"/>
    <n v="105.8"/>
    <n v="103.1"/>
    <n v="104.3"/>
    <n v="108.1"/>
    <n v="110.5"/>
    <n v="109.2"/>
    <n v="108.6"/>
    <n v="108.7"/>
    <n v="107.4"/>
    <n v="108.5"/>
    <n v="100.5"/>
    <n v="107.4"/>
    <n v="106.9"/>
    <n v="105.9"/>
    <n v="104"/>
    <n v="104.8"/>
    <n v="105.6"/>
    <n v="102.3"/>
    <n v="104.8"/>
    <n v="106.9"/>
    <n v="5"/>
  </r>
  <r>
    <s v="Rural"/>
    <x v="1"/>
    <s v="February"/>
    <d v="2023-02-01T00:00:00"/>
    <s v="Post-COVID"/>
    <n v="174.2"/>
    <n v="205.2"/>
    <n v="173.9"/>
    <n v="177"/>
    <n v="183.4"/>
    <n v="167.2"/>
    <n v="140.9"/>
    <n v="170.4"/>
    <n v="119.1"/>
    <n v="212.1"/>
    <n v="177.6"/>
    <n v="189.9"/>
    <n v="174.8"/>
    <n v="198.3"/>
    <n v="190"/>
    <n v="187"/>
    <n v="189.6"/>
    <n v="141"/>
    <n v="181.6"/>
    <n v="178.6"/>
    <n v="186.6"/>
    <n v="169"/>
    <n v="172.8"/>
    <n v="178.5"/>
    <n v="180.7"/>
    <n v="177.9"/>
    <n v="178"/>
    <n v="2"/>
  </r>
  <r>
    <s v="Urban"/>
    <x v="1"/>
    <s v="February"/>
    <d v="2023-02-01T00:00:00"/>
    <s v="Post-COVID"/>
    <n v="174.7"/>
    <n v="212.2"/>
    <n v="177.2"/>
    <n v="177.9"/>
    <n v="172.2"/>
    <n v="172.1"/>
    <n v="175.8"/>
    <n v="172.2"/>
    <n v="121.9"/>
    <n v="204.8"/>
    <n v="164.9"/>
    <n v="196.6"/>
    <n v="180.7"/>
    <n v="202.7"/>
    <n v="180.3"/>
    <n v="167"/>
    <n v="178.2"/>
    <n v="173.5"/>
    <n v="182.8"/>
    <n v="169.2"/>
    <n v="180.8"/>
    <n v="159.80000000000001"/>
    <n v="168.4"/>
    <n v="172.5"/>
    <n v="181.4"/>
    <n v="170"/>
    <n v="176.3"/>
    <n v="2"/>
  </r>
  <r>
    <s v="Rural+Urban"/>
    <x v="0"/>
    <s v="April"/>
    <d v="2013-04-01T00:00:00"/>
    <s v="Pre-COVID"/>
    <n v="111.6"/>
    <n v="110.9"/>
    <n v="106.6"/>
    <n v="105.7"/>
    <n v="104.4"/>
    <n v="108.9"/>
    <n v="105.5"/>
    <n v="105.3"/>
    <n v="103.5"/>
    <n v="103.3"/>
    <n v="107.2"/>
    <n v="109.6"/>
    <n v="107.7"/>
    <n v="107.5"/>
    <n v="108"/>
    <n v="107"/>
    <n v="107.9"/>
    <n v="100.5"/>
    <n v="106.5"/>
    <n v="106.3"/>
    <n v="105.3"/>
    <n v="104.7"/>
    <n v="104.2"/>
    <n v="105"/>
    <n v="102.9"/>
    <n v="104.8"/>
    <n v="106.1"/>
    <n v="4"/>
  </r>
  <r>
    <s v="Rural"/>
    <x v="1"/>
    <s v="March"/>
    <d v="2023-03-01T00:00:00"/>
    <s v="Post-COVID"/>
    <n v="174.3"/>
    <n v="205.2"/>
    <n v="173.9"/>
    <n v="177"/>
    <n v="183.3"/>
    <n v="167.2"/>
    <n v="140.9"/>
    <n v="170.5"/>
    <n v="119.1"/>
    <n v="212.1"/>
    <n v="177.6"/>
    <n v="189.9"/>
    <n v="174.8"/>
    <n v="198.4"/>
    <n v="190"/>
    <n v="187"/>
    <n v="189.6"/>
    <n v="141"/>
    <n v="181.4"/>
    <n v="178.6"/>
    <n v="186.6"/>
    <n v="169"/>
    <n v="172.8"/>
    <n v="178.5"/>
    <n v="180.7"/>
    <n v="177.9"/>
    <n v="178"/>
    <n v="3"/>
  </r>
  <r>
    <s v="Urban"/>
    <x v="1"/>
    <s v="March"/>
    <d v="2023-03-01T00:00:00"/>
    <s v="Post-COVID"/>
    <n v="174.7"/>
    <n v="212.2"/>
    <n v="177.2"/>
    <n v="177.9"/>
    <n v="172.2"/>
    <n v="172.1"/>
    <n v="175.9"/>
    <n v="172.2"/>
    <n v="121.9"/>
    <n v="204.8"/>
    <n v="164.9"/>
    <n v="196.6"/>
    <n v="180.8"/>
    <n v="202.7"/>
    <n v="180.2"/>
    <n v="167"/>
    <n v="178.2"/>
    <n v="173.5"/>
    <n v="182.6"/>
    <n v="169.2"/>
    <n v="180.8"/>
    <n v="159.80000000000001"/>
    <n v="168.4"/>
    <n v="172.5"/>
    <n v="181.5"/>
    <n v="170"/>
    <n v="176.3"/>
    <n v="3"/>
  </r>
  <r>
    <s v="Rural+Urban"/>
    <x v="0"/>
    <s v="March"/>
    <d v="2013-03-01T00:00:00"/>
    <s v="Pre-COVID"/>
    <n v="111.4"/>
    <n v="109.7"/>
    <n v="111.2"/>
    <n v="105.1"/>
    <n v="104.9"/>
    <n v="105.3"/>
    <n v="102.2"/>
    <n v="105"/>
    <n v="104.2"/>
    <n v="103"/>
    <n v="106.2"/>
    <n v="108.9"/>
    <n v="106.9"/>
    <n v="106.6"/>
    <n v="107.4"/>
    <n v="106.5"/>
    <n v="107.3"/>
    <n v="100.4"/>
    <n v="106.1"/>
    <n v="105.6"/>
    <n v="104.9"/>
    <n v="105.1"/>
    <n v="103.7"/>
    <n v="104"/>
    <n v="104.3"/>
    <n v="104.7"/>
    <n v="105.5"/>
    <n v="3"/>
  </r>
  <r>
    <s v="Rural"/>
    <x v="1"/>
    <s v="April"/>
    <d v="2023-04-01T00:00:00"/>
    <s v="Post-COVID"/>
    <n v="173.3"/>
    <n v="206.9"/>
    <n v="167.9"/>
    <n v="178.2"/>
    <n v="178.5"/>
    <n v="173.7"/>
    <n v="142.80000000000001"/>
    <n v="172.8"/>
    <n v="120.4"/>
    <n v="215.5"/>
    <n v="178.2"/>
    <n v="190.5"/>
    <n v="175.5"/>
    <n v="199.5"/>
    <n v="190.7"/>
    <n v="187.3"/>
    <n v="190.2"/>
    <n v="141"/>
    <n v="181.5"/>
    <n v="179.1"/>
    <n v="187.2"/>
    <n v="169.4"/>
    <n v="173.2"/>
    <n v="179.4"/>
    <n v="183.8"/>
    <n v="178.9"/>
    <n v="178.8"/>
    <n v="4"/>
  </r>
  <r>
    <s v="Urban"/>
    <x v="1"/>
    <s v="April"/>
    <d v="2023-04-01T00:00:00"/>
    <s v="Post-COVID"/>
    <n v="174.8"/>
    <n v="213.7"/>
    <n v="172.4"/>
    <n v="178.8"/>
    <n v="168.7"/>
    <n v="179.2"/>
    <n v="179.9"/>
    <n v="174.7"/>
    <n v="123.1"/>
    <n v="207.8"/>
    <n v="165.5"/>
    <n v="197"/>
    <n v="182.1"/>
    <n v="203.5"/>
    <n v="181"/>
    <n v="167.7"/>
    <n v="178.9"/>
    <n v="175.2"/>
    <n v="182.1"/>
    <n v="169.6"/>
    <n v="181.5"/>
    <n v="160.1"/>
    <n v="168.8"/>
    <n v="174.2"/>
    <n v="184.4"/>
    <n v="170.9"/>
    <n v="177.4"/>
    <n v="4"/>
  </r>
  <r>
    <s v="Rural+Urban"/>
    <x v="0"/>
    <s v="February"/>
    <d v="2013-02-01T00:00:00"/>
    <s v="Pre-COVID"/>
    <n v="110.4"/>
    <n v="110.2"/>
    <n v="112.8"/>
    <n v="104.9"/>
    <n v="105.5"/>
    <n v="103.6"/>
    <n v="103.2"/>
    <n v="105.3"/>
    <n v="105.1"/>
    <n v="102.8"/>
    <n v="105.5"/>
    <n v="108.3"/>
    <n v="106.6"/>
    <n v="105.7"/>
    <n v="106.9"/>
    <n v="106"/>
    <n v="106.8"/>
    <n v="100.4"/>
    <n v="106"/>
    <n v="105.2"/>
    <n v="104.5"/>
    <n v="104.2"/>
    <n v="103.6"/>
    <n v="103.9"/>
    <n v="104.5"/>
    <n v="104.4"/>
    <n v="105.3"/>
    <n v="2"/>
  </r>
  <r>
    <s v="Rural"/>
    <x v="1"/>
    <s v="May"/>
    <d v="2023-05-01T00:00:00"/>
    <s v="Post-COVID"/>
    <n v="173.2"/>
    <n v="211.5"/>
    <n v="171"/>
    <n v="179.6"/>
    <n v="173.3"/>
    <n v="169"/>
    <n v="148.69999999999999"/>
    <n v="174.9"/>
    <n v="121.9"/>
    <n v="221"/>
    <n v="178.7"/>
    <n v="191.1"/>
    <n v="176.8"/>
    <n v="199.9"/>
    <n v="191.2"/>
    <n v="187.9"/>
    <n v="190.8"/>
    <n v="141"/>
    <n v="182.5"/>
    <n v="179.8"/>
    <n v="187.8"/>
    <n v="169.7"/>
    <n v="173.8"/>
    <n v="180.3"/>
    <n v="184.9"/>
    <n v="179.5"/>
    <n v="179.8"/>
    <n v="5"/>
  </r>
  <r>
    <s v="Urban"/>
    <x v="1"/>
    <s v="May"/>
    <d v="2023-05-01T00:00:00"/>
    <s v="Post-COVID"/>
    <n v="174.7"/>
    <n v="219.4"/>
    <n v="176.7"/>
    <n v="179.4"/>
    <n v="164.4"/>
    <n v="175.8"/>
    <n v="185"/>
    <n v="176.9"/>
    <n v="124.2"/>
    <n v="211.9"/>
    <n v="165.9"/>
    <n v="197.7"/>
    <n v="183.1"/>
    <n v="204.2"/>
    <n v="181.3"/>
    <n v="168.1"/>
    <n v="179.3"/>
    <n v="175.6"/>
    <n v="183.4"/>
    <n v="170.1"/>
    <n v="182.2"/>
    <n v="160.4"/>
    <n v="169.2"/>
    <n v="174.8"/>
    <n v="185.6"/>
    <n v="171.6"/>
    <n v="178.2"/>
    <n v="5"/>
  </r>
  <r>
    <s v="Rural+Urban"/>
    <x v="0"/>
    <s v="January"/>
    <d v="2013-01-01T00:00:00"/>
    <s v="Pre-COVID"/>
    <n v="108.4"/>
    <n v="107.3"/>
    <n v="110"/>
    <n v="104.4"/>
    <n v="105.1"/>
    <n v="103.2"/>
    <n v="102.2"/>
    <n v="106"/>
    <n v="106.2"/>
    <n v="102.7"/>
    <n v="104.9"/>
    <n v="107.3"/>
    <n v="105.6"/>
    <n v="105.1"/>
    <n v="106.3"/>
    <n v="105.5"/>
    <n v="106.2"/>
    <n v="100.3"/>
    <n v="105.5"/>
    <n v="104.8"/>
    <n v="104"/>
    <n v="103.2"/>
    <n v="103.1"/>
    <n v="103.6"/>
    <n v="104.5"/>
    <n v="103.9"/>
    <n v="104.6"/>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211.6"/>
  </r>
  <r>
    <x v="1"/>
    <n v="503.3"/>
  </r>
  <r>
    <x v="2"/>
    <n v="185.7"/>
  </r>
  <r>
    <x v="3"/>
    <n v="164.8"/>
  </r>
  <r>
    <x v="4"/>
    <n v="354.2"/>
  </r>
  <r>
    <x v="5"/>
    <n v="93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BA587A-BADC-42E1-869C-7CCCE742CE77}"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J2:K10" firstHeaderRow="2" firstDataRow="2" firstDataCol="1"/>
  <pivotFields count="2">
    <pivotField axis="axisRow" compact="0" outline="0" showAll="0">
      <items count="7">
        <item x="4"/>
        <item x="0"/>
        <item x="2"/>
        <item x="1"/>
        <item x="5"/>
        <item x="3"/>
        <item t="default"/>
      </items>
    </pivotField>
    <pivotField dataField="1" compact="0" outline="0" showAll="0"/>
  </pivotFields>
  <rowFields count="1">
    <field x="0"/>
  </rowFields>
  <rowItems count="7">
    <i>
      <x/>
    </i>
    <i>
      <x v="1"/>
    </i>
    <i>
      <x v="2"/>
    </i>
    <i>
      <x v="3"/>
    </i>
    <i>
      <x v="4"/>
    </i>
    <i>
      <x v="5"/>
    </i>
    <i t="grand">
      <x/>
    </i>
  </rowItems>
  <colItems count="1">
    <i/>
  </colItems>
  <dataFields count="1">
    <dataField name="Category Contribution %" fld="1" showDataAs="percentOfTotal" baseField="0" baseItem="0" numFmtId="10"/>
  </dataFields>
  <formats count="2">
    <format dxfId="9">
      <pivotArea grandRow="1" outline="0" collapsedLevelsAreSubtotals="1" fieldPosition="0"/>
    </format>
    <format dxfId="8">
      <pivotArea outline="0" fieldPosition="0">
        <references count="1">
          <reference field="0" count="0" selected="0"/>
        </references>
      </pivotArea>
    </format>
  </format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90838-44BF-4234-97C6-1693561ADBCB}"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B14" firstHeaderRow="2" firstDataRow="2" firstDataCol="1"/>
  <pivotFields count="33">
    <pivotField compact="0" outline="0" showAll="0"/>
    <pivotField axis="axisRow" compact="0" outline="0" showAll="0">
      <items count="12">
        <item x="0"/>
        <item x="3"/>
        <item x="5"/>
        <item x="7"/>
        <item x="9"/>
        <item x="10"/>
        <item x="8"/>
        <item x="6"/>
        <item x="4"/>
        <item x="2"/>
        <item x="1"/>
        <item t="default"/>
      </items>
    </pivotField>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1"/>
  </rowFields>
  <rowItems count="12">
    <i>
      <x/>
    </i>
    <i>
      <x v="1"/>
    </i>
    <i>
      <x v="2"/>
    </i>
    <i>
      <x v="3"/>
    </i>
    <i>
      <x v="4"/>
    </i>
    <i>
      <x v="5"/>
    </i>
    <i>
      <x v="6"/>
    </i>
    <i>
      <x v="7"/>
    </i>
    <i>
      <x v="8"/>
    </i>
    <i>
      <x v="9"/>
    </i>
    <i>
      <x v="10"/>
    </i>
    <i t="grand">
      <x/>
    </i>
  </rowItems>
  <colItems count="1">
    <i/>
  </colItems>
  <dataFields count="1">
    <dataField name="Average of General index" fld="31" subtotal="average" baseField="1" baseItem="0"/>
  </dataFields>
  <formats count="2">
    <format dxfId="7">
      <pivotArea outline="0" fieldPosition="0">
        <references count="1">
          <reference field="1" count="0" selected="0"/>
        </references>
      </pivotArea>
    </format>
    <format dxfId="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A213F81-FC12-4E9C-A5CF-735806FFAA1A}" autoFormatId="16" applyNumberFormats="0" applyBorderFormats="0" applyFontFormats="0" applyPatternFormats="0" applyAlignmentFormats="0" applyWidthHeightFormats="0">
  <queryTableRefresh nextId="43" unboundColumnsRight="1">
    <queryTableFields count="33">
      <queryTableField id="1" name="Sector" tableColumnId="31"/>
      <queryTableField id="2" name="Year" tableColumnId="2"/>
      <queryTableField id="3" name="Month" tableColumnId="3"/>
      <queryTableField id="41" dataBound="0" tableColumnId="42"/>
      <queryTableField id="40" dataBound="0" tableColumnId="41"/>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4" dataBound="0"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vid_Period" xr10:uid="{A3754818-28B5-497C-A3DD-4E08DB96114D}" sourceName="Covid Period">
  <extLst>
    <x:ext xmlns:x15="http://schemas.microsoft.com/office/spreadsheetml/2010/11/main" uri="{2F2917AC-EB37-4324-AD4E-5DD8C200BD13}">
      <x15:tableSlicerCache tableId="2" column="4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CD86D1-5CDA-4BE7-B436-49BAC2AFEFDF}" sourceName="Year">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vid Period 1" xr10:uid="{3B85AF13-31F9-4E85-A6C6-249BEE1E480B}" cache="Slicer_Covid_Period" caption="Covid Period" rowHeight="234950"/>
  <slicer name="Year" xr10:uid="{1C66E9E7-38CA-46C8-83F1-0AEAB3AD7FC4}" cache="Slicer_Year" caption="Year" startItem="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C871FB-5538-465A-9379-AAB2759D07D8}" name="All_India_Index_Upto_April23__13" displayName="All_India_Index_Upto_April23__13" ref="A1:AG373" tableType="queryTable" totalsRowShown="0">
  <autoFilter ref="A1:AG373" xr:uid="{38260C1E-A99F-4912-8613-72ED91060642}">
    <filterColumn colId="0">
      <filters>
        <filter val="Rural+Urban"/>
      </filters>
    </filterColumn>
    <filterColumn colId="4">
      <filters>
        <filter val="Pre-COVID"/>
      </filters>
    </filterColumn>
  </autoFilter>
  <sortState xmlns:xlrd2="http://schemas.microsoft.com/office/spreadsheetml/2017/richdata2" ref="A4:AG88">
    <sortCondition ref="D1:D373"/>
  </sortState>
  <tableColumns count="33">
    <tableColumn id="31" xr3:uid="{7D12954B-1FCB-4A58-9393-2A7D69B55D87}" uniqueName="31" name="Sector" queryTableFieldId="1" dataDxfId="15"/>
    <tableColumn id="2" xr3:uid="{5AED99FE-AC69-4D47-8219-CB2761BB3144}" uniqueName="2" name="Year" queryTableFieldId="2"/>
    <tableColumn id="3" xr3:uid="{EF27EBF5-B71E-40A6-9039-494D39649AB6}" uniqueName="3" name="Month" queryTableFieldId="3" dataDxfId="14"/>
    <tableColumn id="42" xr3:uid="{9CA8FCF6-843C-40B9-9625-F18BBC8F0AEF}" uniqueName="42" name="Date" queryTableFieldId="41" dataDxfId="13">
      <calculatedColumnFormula>DATE(All_India_Index_Upto_April23__13[[#This Row],[Year]],All_India_Index_Upto_April23__13[[#This Row],[Month Number]],1)</calculatedColumnFormula>
    </tableColumn>
    <tableColumn id="41" xr3:uid="{6A8646D9-216E-4B77-A365-1F0F763AB83D}" uniqueName="41" name="Covid Period" queryTableFieldId="40" dataDxfId="12">
      <calculatedColumnFormula>IF(All_India_Index_Upto_April23__13[[#This Row],[Date]]&lt;DATE(2020, 3, 1),"Pre-COVID","Post-COVID")</calculatedColumnFormula>
    </tableColumn>
    <tableColumn id="4" xr3:uid="{869C71F3-5C60-4873-BD34-5A1C713C18AC}" uniqueName="4" name="Cereals and products" queryTableFieldId="4"/>
    <tableColumn id="5" xr3:uid="{7D0448B1-B8B4-46FF-9B99-9C9F93A3071D}" uniqueName="5" name="Meat and fish" queryTableFieldId="5"/>
    <tableColumn id="6" xr3:uid="{BF477468-1B57-4CC7-92D0-D6404270EEA4}" uniqueName="6" name="Egg" queryTableFieldId="6"/>
    <tableColumn id="7" xr3:uid="{10F6264D-8584-4092-A7B1-493AE3208E49}" uniqueName="7" name="Milk and products" queryTableFieldId="7"/>
    <tableColumn id="8" xr3:uid="{75D0182D-C8C8-4879-982F-C56BDBD93CAB}" uniqueName="8" name="Oils and fats" queryTableFieldId="8"/>
    <tableColumn id="9" xr3:uid="{553EDA5B-B1DF-47AE-AD89-CEE39677047C}" uniqueName="9" name="Fruits" queryTableFieldId="9"/>
    <tableColumn id="10" xr3:uid="{AAF7818F-2681-4972-B964-FF74017E6C16}" uniqueName="10" name="Vegetables" queryTableFieldId="10"/>
    <tableColumn id="11" xr3:uid="{CAB63192-6ABE-4DC6-BF18-2542A43F1AB2}" uniqueName="11" name="Pulses and products" queryTableFieldId="11"/>
    <tableColumn id="12" xr3:uid="{7A8B1083-1F09-4C93-B030-5D0F3F56C182}" uniqueName="12" name="Sugar and Confectionery" queryTableFieldId="12"/>
    <tableColumn id="13" xr3:uid="{6B8A257F-0A86-4204-AA7C-CD9A79F0E032}" uniqueName="13" name="Spices" queryTableFieldId="13"/>
    <tableColumn id="14" xr3:uid="{AA3D2F84-44F7-4CAE-907B-2757B4F950F1}" uniqueName="14" name="Non-alcoholic beverages" queryTableFieldId="14"/>
    <tableColumn id="15" xr3:uid="{3707B933-E89E-420B-B52A-00EAE924F245}" uniqueName="15" name="Prepared meals, snacks, sweets etc." queryTableFieldId="15"/>
    <tableColumn id="16" xr3:uid="{81B3BC28-67F0-45DF-B93A-2D7C08E49AB8}" uniqueName="16" name="Food and beverages" queryTableFieldId="16"/>
    <tableColumn id="17" xr3:uid="{D5977736-24FA-4488-8548-7711BC97DDCC}" uniqueName="17" name="Pan, tobacco and intoxicants" queryTableFieldId="17"/>
    <tableColumn id="18" xr3:uid="{F27FAE3C-87DC-461E-9CE0-936FE6190F8F}" uniqueName="18" name="Clothing" queryTableFieldId="18"/>
    <tableColumn id="19" xr3:uid="{B4FF8F5A-167A-4B4C-8F7B-2878A36B3C1B}" uniqueName="19" name="Footwear" queryTableFieldId="19"/>
    <tableColumn id="20" xr3:uid="{2A945B24-35F4-4C8E-BDF3-4D26B630EAE6}" uniqueName="20" name="Clothing and footwear" queryTableFieldId="20"/>
    <tableColumn id="21" xr3:uid="{0C567B89-FBFB-41EA-9ECD-B62F21514A48}" uniqueName="21" name="Housing" queryTableFieldId="21" dataDxfId="11"/>
    <tableColumn id="22" xr3:uid="{3D01042A-F25A-409F-9B81-7EF99FB90E43}" uniqueName="22" name="Fuel and light" queryTableFieldId="22"/>
    <tableColumn id="23" xr3:uid="{9F77EA13-A8C1-45CB-BD2E-4EE1A431BC71}" uniqueName="23" name="Household goods and services" queryTableFieldId="23"/>
    <tableColumn id="24" xr3:uid="{6EFEEC8A-54FF-4EA2-B3D9-4BA4328E32B0}" uniqueName="24" name="Health" queryTableFieldId="24"/>
    <tableColumn id="25" xr3:uid="{89833DE3-F7BB-4B15-88C7-5E49D4C00EB0}" uniqueName="25" name="Transport and communication" queryTableFieldId="25"/>
    <tableColumn id="26" xr3:uid="{202C0532-1A7F-4227-A24B-E8C15C077F1C}" uniqueName="26" name="Recreation and amusement" queryTableFieldId="26"/>
    <tableColumn id="27" xr3:uid="{57B87384-6318-4EDA-993A-4602CCC62F2D}" uniqueName="27" name="Education" queryTableFieldId="27"/>
    <tableColumn id="28" xr3:uid="{38F5FED5-E6F7-4E83-9BD4-D2761BA61031}" uniqueName="28" name="Personal care and effects" queryTableFieldId="28"/>
    <tableColumn id="29" xr3:uid="{1EFE4D71-D955-41CC-B1BC-FFB33722ACD8}" uniqueName="29" name="Miscellaneous" queryTableFieldId="29"/>
    <tableColumn id="30" xr3:uid="{3DF50E22-1839-4483-B808-A189480D2AC9}" uniqueName="30" name="General index" queryTableFieldId="30"/>
    <tableColumn id="35" xr3:uid="{1E00C617-F401-472B-A531-E531156E17B3}" uniqueName="35" name="Month Number" queryTableFieldId="34" dataDxfId="10">
      <calculatedColumnFormula>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719CD-552B-4185-8202-71CFF284336F}">
  <dimension ref="A1:AG373"/>
  <sheetViews>
    <sheetView zoomScale="85" zoomScaleNormal="85" workbookViewId="0">
      <selection activeCell="H22" sqref="H22"/>
    </sheetView>
  </sheetViews>
  <sheetFormatPr defaultRowHeight="14.4" x14ac:dyDescent="0.3"/>
  <cols>
    <col min="1" max="1" width="11.21875" bestFit="1" customWidth="1"/>
    <col min="2" max="2" width="6.88671875" bestFit="1" customWidth="1"/>
    <col min="3" max="3" width="10" customWidth="1"/>
    <col min="4" max="4" width="10.33203125" bestFit="1" customWidth="1"/>
    <col min="5" max="5" width="15" customWidth="1"/>
    <col min="6" max="8" width="21" bestFit="1" customWidth="1"/>
    <col min="9" max="9" width="14.77734375" bestFit="1" customWidth="1"/>
    <col min="10" max="11" width="18.5546875" bestFit="1" customWidth="1"/>
    <col min="12" max="12" width="13.44140625" bestFit="1" customWidth="1"/>
    <col min="13" max="13" width="7.77734375" bestFit="1" customWidth="1"/>
    <col min="14" max="14" width="12.44140625" bestFit="1" customWidth="1"/>
    <col min="15" max="15" width="20.21875" bestFit="1" customWidth="1"/>
    <col min="16" max="16" width="24.33203125" bestFit="1" customWidth="1"/>
    <col min="17" max="17" width="8.44140625" bestFit="1" customWidth="1"/>
    <col min="18" max="18" width="24.21875" bestFit="1" customWidth="1"/>
    <col min="19" max="19" width="33.5546875" bestFit="1" customWidth="1"/>
    <col min="20" max="20" width="20.33203125" bestFit="1" customWidth="1"/>
    <col min="21" max="21" width="27.88671875" bestFit="1" customWidth="1"/>
    <col min="22" max="22" width="10.21875" bestFit="1" customWidth="1"/>
    <col min="23" max="23" width="14.6640625" customWidth="1"/>
    <col min="24" max="24" width="15.6640625" bestFit="1" customWidth="1"/>
    <col min="25" max="25" width="30.77734375" bestFit="1" customWidth="1"/>
    <col min="26" max="26" width="14.44140625" bestFit="1" customWidth="1"/>
    <col min="27" max="28" width="8.6640625" bestFit="1" customWidth="1"/>
    <col min="29" max="29" width="29.109375" bestFit="1" customWidth="1"/>
    <col min="30" max="30" width="26.6640625" bestFit="1" customWidth="1"/>
    <col min="31" max="31" width="11.6640625" bestFit="1" customWidth="1"/>
    <col min="32" max="32" width="24.5546875" bestFit="1" customWidth="1"/>
    <col min="33" max="33" width="15.109375" bestFit="1" customWidth="1"/>
    <col min="34" max="34" width="8.5546875" customWidth="1"/>
  </cols>
  <sheetData>
    <row r="1" spans="1:33" x14ac:dyDescent="0.3">
      <c r="A1" t="s">
        <v>0</v>
      </c>
      <c r="B1" t="s">
        <v>1</v>
      </c>
      <c r="C1" t="s">
        <v>2</v>
      </c>
      <c r="D1" t="s">
        <v>45</v>
      </c>
      <c r="E1" t="s">
        <v>55</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56</v>
      </c>
    </row>
    <row r="2" spans="1:33" hidden="1" x14ac:dyDescent="0.3">
      <c r="A2" t="s">
        <v>30</v>
      </c>
      <c r="B2">
        <v>2013</v>
      </c>
      <c r="C2" t="s">
        <v>31</v>
      </c>
      <c r="D2" s="10">
        <f>DATE(All_India_Index_Upto_April23__13[[#This Row],[Year]],All_India_Index_Upto_April23__13[[#This Row],[Month Number]],1)</f>
        <v>41275</v>
      </c>
      <c r="E2" s="1" t="str">
        <f>IF(All_India_Index_Upto_April23__13[[#This Row],[Date]]&lt;DATE(2020, 3, 1),"Pre-COVID","Post-COVID")</f>
        <v>Pre-COVID</v>
      </c>
      <c r="F2">
        <v>107.5</v>
      </c>
      <c r="G2">
        <v>106.3</v>
      </c>
      <c r="H2">
        <v>108.1</v>
      </c>
      <c r="I2">
        <v>104.9</v>
      </c>
      <c r="J2">
        <v>106.1</v>
      </c>
      <c r="K2">
        <v>103.9</v>
      </c>
      <c r="L2">
        <v>101.9</v>
      </c>
      <c r="M2">
        <v>106.1</v>
      </c>
      <c r="N2">
        <v>106.8</v>
      </c>
      <c r="O2">
        <v>103.1</v>
      </c>
      <c r="P2">
        <v>104.8</v>
      </c>
      <c r="Q2">
        <v>106.7</v>
      </c>
      <c r="R2">
        <v>105.5</v>
      </c>
      <c r="S2">
        <v>105.1</v>
      </c>
      <c r="T2">
        <v>106.5</v>
      </c>
      <c r="U2">
        <v>105.8</v>
      </c>
      <c r="V2">
        <v>106.4</v>
      </c>
      <c r="W2" s="3">
        <v>141</v>
      </c>
      <c r="X2">
        <v>105.5</v>
      </c>
      <c r="Y2">
        <v>104.8</v>
      </c>
      <c r="Z2">
        <v>104</v>
      </c>
      <c r="AA2">
        <v>103.3</v>
      </c>
      <c r="AB2">
        <v>103.4</v>
      </c>
      <c r="AC2">
        <v>103.8</v>
      </c>
      <c r="AD2">
        <v>104.7</v>
      </c>
      <c r="AE2">
        <v>104</v>
      </c>
      <c r="AF2">
        <v>105.1</v>
      </c>
      <c r="AG2" s="1">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 spans="1:33" hidden="1" x14ac:dyDescent="0.3">
      <c r="A3" t="s">
        <v>32</v>
      </c>
      <c r="B3">
        <v>2013</v>
      </c>
      <c r="C3" t="s">
        <v>31</v>
      </c>
      <c r="D3" s="10">
        <f>DATE(All_India_Index_Upto_April23__13[[#This Row],[Year]],All_India_Index_Upto_April23__13[[#This Row],[Month Number]],1)</f>
        <v>41275</v>
      </c>
      <c r="E3" s="2" t="str">
        <f>IF(All_India_Index_Upto_April23__13[[#This Row],[Date]]&lt;DATE(2020, 3, 1),"Pre-COVID","Post-COVID")</f>
        <v>Pre-COVID</v>
      </c>
      <c r="F3">
        <v>110.5</v>
      </c>
      <c r="G3">
        <v>109.1</v>
      </c>
      <c r="H3">
        <v>113</v>
      </c>
      <c r="I3">
        <v>103.6</v>
      </c>
      <c r="J3">
        <v>103.4</v>
      </c>
      <c r="K3">
        <v>102.3</v>
      </c>
      <c r="L3">
        <v>102.9</v>
      </c>
      <c r="M3">
        <v>105.8</v>
      </c>
      <c r="N3">
        <v>105.1</v>
      </c>
      <c r="O3">
        <v>101.8</v>
      </c>
      <c r="P3">
        <v>105.1</v>
      </c>
      <c r="Q3">
        <v>107.9</v>
      </c>
      <c r="R3">
        <v>105.9</v>
      </c>
      <c r="S3">
        <v>105.2</v>
      </c>
      <c r="T3">
        <v>105.9</v>
      </c>
      <c r="U3">
        <v>105</v>
      </c>
      <c r="V3">
        <v>105.8</v>
      </c>
      <c r="W3" s="3">
        <v>100.3</v>
      </c>
      <c r="X3">
        <v>105.4</v>
      </c>
      <c r="Y3">
        <v>104.8</v>
      </c>
      <c r="Z3">
        <v>104.1</v>
      </c>
      <c r="AA3">
        <v>103.2</v>
      </c>
      <c r="AB3">
        <v>102.9</v>
      </c>
      <c r="AC3">
        <v>103.5</v>
      </c>
      <c r="AD3">
        <v>104.3</v>
      </c>
      <c r="AE3">
        <v>103.7</v>
      </c>
      <c r="AF3">
        <v>104</v>
      </c>
      <c r="AG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4" spans="1:33" hidden="1" x14ac:dyDescent="0.3">
      <c r="A4" t="s">
        <v>33</v>
      </c>
      <c r="B4">
        <v>2021</v>
      </c>
      <c r="C4" t="s">
        <v>31</v>
      </c>
      <c r="D4" s="10">
        <f>DATE(All_India_Index_Upto_April23__13[[#This Row],[Year]],All_India_Index_Upto_April23__13[[#This Row],[Month Number]],1)</f>
        <v>44197</v>
      </c>
      <c r="E4" s="2" t="str">
        <f>IF(All_India_Index_Upto_April23__13[[#This Row],[Date]]&lt;DATE(2020, 3, 1),"Pre-COVID","Post-COVID")</f>
        <v>Post-COVID</v>
      </c>
      <c r="F4">
        <v>144.9</v>
      </c>
      <c r="G4">
        <v>190.1</v>
      </c>
      <c r="H4">
        <v>175.3</v>
      </c>
      <c r="I4">
        <v>154.1</v>
      </c>
      <c r="J4">
        <v>150.9</v>
      </c>
      <c r="K4">
        <v>149.6</v>
      </c>
      <c r="L4">
        <v>194.2</v>
      </c>
      <c r="M4">
        <v>160.4</v>
      </c>
      <c r="N4">
        <v>114.6</v>
      </c>
      <c r="O4">
        <v>164</v>
      </c>
      <c r="P4">
        <v>151.80000000000001</v>
      </c>
      <c r="Q4">
        <v>165.6</v>
      </c>
      <c r="R4">
        <v>161</v>
      </c>
      <c r="S4">
        <v>186.5</v>
      </c>
      <c r="T4">
        <v>155.5</v>
      </c>
      <c r="U4">
        <v>146.1</v>
      </c>
      <c r="V4">
        <v>154.19999999999999</v>
      </c>
      <c r="W4" s="3">
        <v>157.69999999999999</v>
      </c>
      <c r="X4">
        <v>147.9</v>
      </c>
      <c r="Y4">
        <v>150</v>
      </c>
      <c r="Z4">
        <v>159.30000000000001</v>
      </c>
      <c r="AA4">
        <v>141.9</v>
      </c>
      <c r="AB4">
        <v>149.6</v>
      </c>
      <c r="AC4">
        <v>159.19999999999999</v>
      </c>
      <c r="AD4">
        <v>156.80000000000001</v>
      </c>
      <c r="AE4">
        <v>151.9</v>
      </c>
      <c r="AF4">
        <v>157.30000000000001</v>
      </c>
      <c r="AG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5" spans="1:33" hidden="1" x14ac:dyDescent="0.3">
      <c r="A5" t="s">
        <v>30</v>
      </c>
      <c r="B5">
        <v>2013</v>
      </c>
      <c r="C5" t="s">
        <v>34</v>
      </c>
      <c r="D5" s="10">
        <f>DATE(All_India_Index_Upto_April23__13[[#This Row],[Year]],All_India_Index_Upto_April23__13[[#This Row],[Month Number]],1)</f>
        <v>41306</v>
      </c>
      <c r="E5" s="2" t="str">
        <f>IF(All_India_Index_Upto_April23__13[[#This Row],[Date]]&lt;DATE(2020, 3, 1),"Pre-COVID","Post-COVID")</f>
        <v>Pre-COVID</v>
      </c>
      <c r="F5">
        <v>108.4</v>
      </c>
      <c r="G5">
        <v>108.7</v>
      </c>
      <c r="H5">
        <v>110.2</v>
      </c>
      <c r="I5">
        <v>105.4</v>
      </c>
      <c r="J5">
        <v>106.7</v>
      </c>
      <c r="K5">
        <v>104</v>
      </c>
      <c r="L5">
        <v>102.4</v>
      </c>
      <c r="M5">
        <v>105.9</v>
      </c>
      <c r="N5">
        <v>105.7</v>
      </c>
      <c r="O5">
        <v>103.1</v>
      </c>
      <c r="P5">
        <v>105.1</v>
      </c>
      <c r="Q5">
        <v>107.7</v>
      </c>
      <c r="R5">
        <v>106.3</v>
      </c>
      <c r="S5">
        <v>105.6</v>
      </c>
      <c r="T5">
        <v>107.1</v>
      </c>
      <c r="U5">
        <v>106.3</v>
      </c>
      <c r="V5">
        <v>107</v>
      </c>
      <c r="W5" s="3">
        <v>141</v>
      </c>
      <c r="X5">
        <v>106.2</v>
      </c>
      <c r="Y5">
        <v>105.2</v>
      </c>
      <c r="Z5">
        <v>104.4</v>
      </c>
      <c r="AA5">
        <v>103.9</v>
      </c>
      <c r="AB5">
        <v>104</v>
      </c>
      <c r="AC5">
        <v>104.1</v>
      </c>
      <c r="AD5">
        <v>104.6</v>
      </c>
      <c r="AE5">
        <v>104.4</v>
      </c>
      <c r="AF5">
        <v>105.8</v>
      </c>
      <c r="AG5" s="5">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6" spans="1:33" hidden="1" x14ac:dyDescent="0.3">
      <c r="A6" t="s">
        <v>32</v>
      </c>
      <c r="B6">
        <v>2013</v>
      </c>
      <c r="C6" t="s">
        <v>34</v>
      </c>
      <c r="D6" s="10">
        <f>DATE(All_India_Index_Upto_April23__13[[#This Row],[Year]],All_India_Index_Upto_April23__13[[#This Row],[Month Number]],1)</f>
        <v>41306</v>
      </c>
      <c r="E6" s="2" t="str">
        <f>IF(All_India_Index_Upto_April23__13[[#This Row],[Date]]&lt;DATE(2020, 3, 1),"Pre-COVID","Post-COVID")</f>
        <v>Pre-COVID</v>
      </c>
      <c r="F6">
        <v>112.9</v>
      </c>
      <c r="G6">
        <v>112.9</v>
      </c>
      <c r="H6">
        <v>116.9</v>
      </c>
      <c r="I6">
        <v>104</v>
      </c>
      <c r="J6">
        <v>103.5</v>
      </c>
      <c r="K6">
        <v>103.1</v>
      </c>
      <c r="L6">
        <v>104.9</v>
      </c>
      <c r="M6">
        <v>104.1</v>
      </c>
      <c r="N6">
        <v>103.8</v>
      </c>
      <c r="O6">
        <v>102.3</v>
      </c>
      <c r="P6">
        <v>106</v>
      </c>
      <c r="Q6">
        <v>109</v>
      </c>
      <c r="R6">
        <v>107.2</v>
      </c>
      <c r="S6">
        <v>106</v>
      </c>
      <c r="T6">
        <v>106.6</v>
      </c>
      <c r="U6">
        <v>105.5</v>
      </c>
      <c r="V6">
        <v>106.4</v>
      </c>
      <c r="W6" s="3">
        <v>100.4</v>
      </c>
      <c r="X6">
        <v>105.7</v>
      </c>
      <c r="Y6">
        <v>105.2</v>
      </c>
      <c r="Z6">
        <v>104.7</v>
      </c>
      <c r="AA6">
        <v>104.4</v>
      </c>
      <c r="AB6">
        <v>103.3</v>
      </c>
      <c r="AC6">
        <v>103.7</v>
      </c>
      <c r="AD6">
        <v>104.3</v>
      </c>
      <c r="AE6">
        <v>104.3</v>
      </c>
      <c r="AF6">
        <v>104.7</v>
      </c>
      <c r="AG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7" spans="1:33" hidden="1" x14ac:dyDescent="0.3">
      <c r="A7" t="s">
        <v>33</v>
      </c>
      <c r="B7">
        <v>2021</v>
      </c>
      <c r="C7" t="s">
        <v>34</v>
      </c>
      <c r="D7" s="10">
        <f>DATE(All_India_Index_Upto_April23__13[[#This Row],[Year]],All_India_Index_Upto_April23__13[[#This Row],[Month Number]],1)</f>
        <v>44228</v>
      </c>
      <c r="E7" s="2" t="str">
        <f>IF(All_India_Index_Upto_April23__13[[#This Row],[Date]]&lt;DATE(2020, 3, 1),"Pre-COVID","Post-COVID")</f>
        <v>Post-COVID</v>
      </c>
      <c r="F7">
        <v>144.30000000000001</v>
      </c>
      <c r="G7">
        <v>186.5</v>
      </c>
      <c r="H7">
        <v>168.7</v>
      </c>
      <c r="I7">
        <v>154.69999999999999</v>
      </c>
      <c r="J7">
        <v>158.69999999999999</v>
      </c>
      <c r="K7">
        <v>150.69999999999999</v>
      </c>
      <c r="L7">
        <v>160</v>
      </c>
      <c r="M7">
        <v>158.80000000000001</v>
      </c>
      <c r="N7">
        <v>112.8</v>
      </c>
      <c r="O7">
        <v>164.2</v>
      </c>
      <c r="P7">
        <v>155.5</v>
      </c>
      <c r="Q7">
        <v>167.5</v>
      </c>
      <c r="R7">
        <v>156.9</v>
      </c>
      <c r="S7">
        <v>188.3</v>
      </c>
      <c r="T7">
        <v>157.19999999999999</v>
      </c>
      <c r="U7">
        <v>147.4</v>
      </c>
      <c r="V7">
        <v>155.80000000000001</v>
      </c>
      <c r="W7" s="3">
        <v>159.80000000000001</v>
      </c>
      <c r="X7">
        <v>152.4</v>
      </c>
      <c r="Y7">
        <v>150.9</v>
      </c>
      <c r="Z7">
        <v>161.30000000000001</v>
      </c>
      <c r="AA7">
        <v>145.1</v>
      </c>
      <c r="AB7">
        <v>151.5</v>
      </c>
      <c r="AC7">
        <v>159.5</v>
      </c>
      <c r="AD7">
        <v>155.80000000000001</v>
      </c>
      <c r="AE7">
        <v>153.4</v>
      </c>
      <c r="AF7">
        <v>156.6</v>
      </c>
      <c r="AG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8" spans="1:33" hidden="1" x14ac:dyDescent="0.3">
      <c r="A8" t="s">
        <v>30</v>
      </c>
      <c r="B8">
        <v>2013</v>
      </c>
      <c r="C8" t="s">
        <v>35</v>
      </c>
      <c r="D8" s="10">
        <f>DATE(All_India_Index_Upto_April23__13[[#This Row],[Year]],All_India_Index_Upto_April23__13[[#This Row],[Month Number]],1)</f>
        <v>41334</v>
      </c>
      <c r="E8" s="2" t="str">
        <f>IF(All_India_Index_Upto_April23__13[[#This Row],[Date]]&lt;DATE(2020, 3, 1),"Pre-COVID","Post-COVID")</f>
        <v>Pre-COVID</v>
      </c>
      <c r="F8">
        <v>110.2</v>
      </c>
      <c r="G8">
        <v>108.8</v>
      </c>
      <c r="H8">
        <v>109.9</v>
      </c>
      <c r="I8">
        <v>105.6</v>
      </c>
      <c r="J8">
        <v>106.2</v>
      </c>
      <c r="K8">
        <v>105.7</v>
      </c>
      <c r="L8">
        <v>101.4</v>
      </c>
      <c r="M8">
        <v>105.7</v>
      </c>
      <c r="N8">
        <v>105</v>
      </c>
      <c r="O8">
        <v>103.3</v>
      </c>
      <c r="P8">
        <v>105.6</v>
      </c>
      <c r="Q8">
        <v>108.2</v>
      </c>
      <c r="R8">
        <v>106.6</v>
      </c>
      <c r="S8">
        <v>106.5</v>
      </c>
      <c r="T8">
        <v>107.6</v>
      </c>
      <c r="U8">
        <v>106.8</v>
      </c>
      <c r="V8">
        <v>107.5</v>
      </c>
      <c r="W8" s="3">
        <v>141</v>
      </c>
      <c r="X8">
        <v>106.1</v>
      </c>
      <c r="Y8">
        <v>105.6</v>
      </c>
      <c r="Z8">
        <v>104.7</v>
      </c>
      <c r="AA8">
        <v>104.6</v>
      </c>
      <c r="AB8">
        <v>104</v>
      </c>
      <c r="AC8">
        <v>104.3</v>
      </c>
      <c r="AD8">
        <v>104.3</v>
      </c>
      <c r="AE8">
        <v>104.6</v>
      </c>
      <c r="AF8">
        <v>106</v>
      </c>
      <c r="AG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9" spans="1:33" hidden="1" x14ac:dyDescent="0.3">
      <c r="A9" t="s">
        <v>32</v>
      </c>
      <c r="B9">
        <v>2013</v>
      </c>
      <c r="C9" t="s">
        <v>35</v>
      </c>
      <c r="D9" s="10">
        <f>DATE(All_India_Index_Upto_April23__13[[#This Row],[Year]],All_India_Index_Upto_April23__13[[#This Row],[Month Number]],1)</f>
        <v>41334</v>
      </c>
      <c r="E9" s="2" t="str">
        <f>IF(All_India_Index_Upto_April23__13[[#This Row],[Date]]&lt;DATE(2020, 3, 1),"Pre-COVID","Post-COVID")</f>
        <v>Pre-COVID</v>
      </c>
      <c r="F9">
        <v>113.9</v>
      </c>
      <c r="G9">
        <v>111.4</v>
      </c>
      <c r="H9">
        <v>113.2</v>
      </c>
      <c r="I9">
        <v>104.3</v>
      </c>
      <c r="J9">
        <v>102.7</v>
      </c>
      <c r="K9">
        <v>104.9</v>
      </c>
      <c r="L9">
        <v>103.8</v>
      </c>
      <c r="M9">
        <v>103.5</v>
      </c>
      <c r="N9">
        <v>102.6</v>
      </c>
      <c r="O9">
        <v>102.4</v>
      </c>
      <c r="P9">
        <v>107</v>
      </c>
      <c r="Q9">
        <v>109.8</v>
      </c>
      <c r="R9">
        <v>107.3</v>
      </c>
      <c r="S9">
        <v>106.8</v>
      </c>
      <c r="T9">
        <v>107.2</v>
      </c>
      <c r="U9">
        <v>106</v>
      </c>
      <c r="V9">
        <v>107</v>
      </c>
      <c r="W9" s="3">
        <v>100.4</v>
      </c>
      <c r="X9">
        <v>106</v>
      </c>
      <c r="Y9">
        <v>105.7</v>
      </c>
      <c r="Z9">
        <v>105.2</v>
      </c>
      <c r="AA9">
        <v>105.5</v>
      </c>
      <c r="AB9">
        <v>103.5</v>
      </c>
      <c r="AC9">
        <v>103.8</v>
      </c>
      <c r="AD9">
        <v>104.2</v>
      </c>
      <c r="AE9">
        <v>104.9</v>
      </c>
      <c r="AF9">
        <v>105</v>
      </c>
      <c r="AG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0" spans="1:33" hidden="1" x14ac:dyDescent="0.3">
      <c r="A10" t="s">
        <v>33</v>
      </c>
      <c r="B10">
        <v>2021</v>
      </c>
      <c r="C10" t="s">
        <v>35</v>
      </c>
      <c r="D10" s="10">
        <f>DATE(All_India_Index_Upto_April23__13[[#This Row],[Year]],All_India_Index_Upto_April23__13[[#This Row],[Month Number]],1)</f>
        <v>44256</v>
      </c>
      <c r="E10" s="2" t="str">
        <f>IF(All_India_Index_Upto_April23__13[[#This Row],[Date]]&lt;DATE(2020, 3, 1),"Pre-COVID","Post-COVID")</f>
        <v>Post-COVID</v>
      </c>
      <c r="F10">
        <v>144.1</v>
      </c>
      <c r="G10">
        <v>192.2</v>
      </c>
      <c r="H10">
        <v>163.80000000000001</v>
      </c>
      <c r="I10">
        <v>154.9</v>
      </c>
      <c r="J10">
        <v>163.9</v>
      </c>
      <c r="K10">
        <v>153.69999999999999</v>
      </c>
      <c r="L10">
        <v>149.5</v>
      </c>
      <c r="M10">
        <v>159.80000000000001</v>
      </c>
      <c r="N10">
        <v>112.6</v>
      </c>
      <c r="O10">
        <v>163.5</v>
      </c>
      <c r="P10">
        <v>156.5</v>
      </c>
      <c r="Q10">
        <v>168.2</v>
      </c>
      <c r="R10">
        <v>156.69999999999999</v>
      </c>
      <c r="S10">
        <v>188.1</v>
      </c>
      <c r="T10">
        <v>157.80000000000001</v>
      </c>
      <c r="U10">
        <v>147.9</v>
      </c>
      <c r="V10">
        <v>156.4</v>
      </c>
      <c r="W10" s="3">
        <v>159.9</v>
      </c>
      <c r="X10">
        <v>155.5</v>
      </c>
      <c r="Y10">
        <v>151.19999999999999</v>
      </c>
      <c r="Z10">
        <v>161.69999999999999</v>
      </c>
      <c r="AA10">
        <v>146.19999999999999</v>
      </c>
      <c r="AB10">
        <v>152.6</v>
      </c>
      <c r="AC10">
        <v>160.19999999999999</v>
      </c>
      <c r="AD10">
        <v>153.80000000000001</v>
      </c>
      <c r="AE10">
        <v>153.80000000000001</v>
      </c>
      <c r="AF10">
        <v>156.80000000000001</v>
      </c>
      <c r="AG1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1" spans="1:33" hidden="1" x14ac:dyDescent="0.3">
      <c r="A11" t="s">
        <v>30</v>
      </c>
      <c r="B11">
        <v>2013</v>
      </c>
      <c r="C11" t="s">
        <v>36</v>
      </c>
      <c r="D11" s="10">
        <f>DATE(All_India_Index_Upto_April23__13[[#This Row],[Year]],All_India_Index_Upto_April23__13[[#This Row],[Month Number]],1)</f>
        <v>41365</v>
      </c>
      <c r="E11" s="2" t="str">
        <f>IF(All_India_Index_Upto_April23__13[[#This Row],[Date]]&lt;DATE(2020, 3, 1),"Pre-COVID","Post-COVID")</f>
        <v>Pre-COVID</v>
      </c>
      <c r="F11">
        <v>110.2</v>
      </c>
      <c r="G11">
        <v>109.5</v>
      </c>
      <c r="H11">
        <v>106.9</v>
      </c>
      <c r="I11">
        <v>106.3</v>
      </c>
      <c r="J11">
        <v>105.7</v>
      </c>
      <c r="K11">
        <v>108.3</v>
      </c>
      <c r="L11">
        <v>103.4</v>
      </c>
      <c r="M11">
        <v>105.7</v>
      </c>
      <c r="N11">
        <v>104.2</v>
      </c>
      <c r="O11">
        <v>103.2</v>
      </c>
      <c r="P11">
        <v>106.5</v>
      </c>
      <c r="Q11">
        <v>108.8</v>
      </c>
      <c r="R11">
        <v>107.1</v>
      </c>
      <c r="S11">
        <v>107.1</v>
      </c>
      <c r="T11">
        <v>108.1</v>
      </c>
      <c r="U11">
        <v>107.4</v>
      </c>
      <c r="V11">
        <v>108</v>
      </c>
      <c r="W11" s="3">
        <v>141</v>
      </c>
      <c r="X11">
        <v>106.5</v>
      </c>
      <c r="Y11">
        <v>106.1</v>
      </c>
      <c r="Z11">
        <v>105.1</v>
      </c>
      <c r="AA11">
        <v>104.4</v>
      </c>
      <c r="AB11">
        <v>104.5</v>
      </c>
      <c r="AC11">
        <v>104.8</v>
      </c>
      <c r="AD11">
        <v>102.7</v>
      </c>
      <c r="AE11">
        <v>104.6</v>
      </c>
      <c r="AF11">
        <v>106.4</v>
      </c>
      <c r="AG1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2" spans="1:33" hidden="1" x14ac:dyDescent="0.3">
      <c r="A12" t="s">
        <v>32</v>
      </c>
      <c r="B12">
        <v>2013</v>
      </c>
      <c r="C12" t="s">
        <v>36</v>
      </c>
      <c r="D12" s="10">
        <f>DATE(All_India_Index_Upto_April23__13[[#This Row],[Year]],All_India_Index_Upto_April23__13[[#This Row],[Month Number]],1)</f>
        <v>41365</v>
      </c>
      <c r="E12" s="2" t="str">
        <f>IF(All_India_Index_Upto_April23__13[[#This Row],[Date]]&lt;DATE(2020, 3, 1),"Pre-COVID","Post-COVID")</f>
        <v>Pre-COVID</v>
      </c>
      <c r="F12">
        <v>114.6</v>
      </c>
      <c r="G12">
        <v>113.4</v>
      </c>
      <c r="H12">
        <v>106</v>
      </c>
      <c r="I12">
        <v>104.7</v>
      </c>
      <c r="J12">
        <v>102.1</v>
      </c>
      <c r="K12">
        <v>109.5</v>
      </c>
      <c r="L12">
        <v>109.7</v>
      </c>
      <c r="M12">
        <v>104.6</v>
      </c>
      <c r="N12">
        <v>102</v>
      </c>
      <c r="O12">
        <v>103.5</v>
      </c>
      <c r="P12">
        <v>108.2</v>
      </c>
      <c r="Q12">
        <v>110.6</v>
      </c>
      <c r="R12">
        <v>108.8</v>
      </c>
      <c r="S12">
        <v>108.5</v>
      </c>
      <c r="T12">
        <v>107.9</v>
      </c>
      <c r="U12">
        <v>106.4</v>
      </c>
      <c r="V12">
        <v>107.7</v>
      </c>
      <c r="W12" s="3">
        <v>100.5</v>
      </c>
      <c r="X12">
        <v>106.4</v>
      </c>
      <c r="Y12">
        <v>106.5</v>
      </c>
      <c r="Z12">
        <v>105.7</v>
      </c>
      <c r="AA12">
        <v>105</v>
      </c>
      <c r="AB12">
        <v>104</v>
      </c>
      <c r="AC12">
        <v>105.2</v>
      </c>
      <c r="AD12">
        <v>103.2</v>
      </c>
      <c r="AE12">
        <v>105.1</v>
      </c>
      <c r="AF12">
        <v>105.7</v>
      </c>
      <c r="AG1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3" spans="1:33" hidden="1" x14ac:dyDescent="0.3">
      <c r="A13" t="s">
        <v>33</v>
      </c>
      <c r="B13">
        <v>2021</v>
      </c>
      <c r="C13" t="s">
        <v>36</v>
      </c>
      <c r="D13" s="10">
        <f>DATE(All_India_Index_Upto_April23__13[[#This Row],[Year]],All_India_Index_Upto_April23__13[[#This Row],[Month Number]],1)</f>
        <v>44287</v>
      </c>
      <c r="E13" s="2" t="str">
        <f>IF(All_India_Index_Upto_April23__13[[#This Row],[Date]]&lt;DATE(2020, 3, 1),"Pre-COVID","Post-COVID")</f>
        <v>Post-COVID</v>
      </c>
      <c r="F13">
        <v>144.30000000000001</v>
      </c>
      <c r="G13">
        <v>198</v>
      </c>
      <c r="H13">
        <v>164.6</v>
      </c>
      <c r="I13">
        <v>155.4</v>
      </c>
      <c r="J13">
        <v>170.1</v>
      </c>
      <c r="K13">
        <v>164.4</v>
      </c>
      <c r="L13">
        <v>144.1</v>
      </c>
      <c r="M13">
        <v>161.69999999999999</v>
      </c>
      <c r="N13">
        <v>113.1</v>
      </c>
      <c r="O13">
        <v>163.9</v>
      </c>
      <c r="P13">
        <v>157.6</v>
      </c>
      <c r="Q13">
        <v>168.9</v>
      </c>
      <c r="R13">
        <v>158</v>
      </c>
      <c r="S13">
        <v>188.8</v>
      </c>
      <c r="T13">
        <v>158.80000000000001</v>
      </c>
      <c r="U13">
        <v>148.5</v>
      </c>
      <c r="V13">
        <v>157.30000000000001</v>
      </c>
      <c r="W13" s="3">
        <v>161.4</v>
      </c>
      <c r="X13">
        <v>155.6</v>
      </c>
      <c r="Y13">
        <v>151.80000000000001</v>
      </c>
      <c r="Z13">
        <v>162.30000000000001</v>
      </c>
      <c r="AA13">
        <v>146.6</v>
      </c>
      <c r="AB13">
        <v>153.19999999999999</v>
      </c>
      <c r="AC13">
        <v>160.30000000000001</v>
      </c>
      <c r="AD13">
        <v>155.4</v>
      </c>
      <c r="AE13">
        <v>154.4</v>
      </c>
      <c r="AF13">
        <v>157.80000000000001</v>
      </c>
      <c r="AG1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4" spans="1:33" hidden="1" x14ac:dyDescent="0.3">
      <c r="A14" t="s">
        <v>30</v>
      </c>
      <c r="B14">
        <v>2013</v>
      </c>
      <c r="C14" t="s">
        <v>37</v>
      </c>
      <c r="D14" s="10">
        <f>DATE(All_India_Index_Upto_April23__13[[#This Row],[Year]],All_India_Index_Upto_April23__13[[#This Row],[Month Number]],1)</f>
        <v>41395</v>
      </c>
      <c r="E14" s="2" t="str">
        <f>IF(All_India_Index_Upto_April23__13[[#This Row],[Date]]&lt;DATE(2020, 3, 1),"Pre-COVID","Post-COVID")</f>
        <v>Pre-COVID</v>
      </c>
      <c r="F14">
        <v>110.9</v>
      </c>
      <c r="G14">
        <v>109.8</v>
      </c>
      <c r="H14">
        <v>105.9</v>
      </c>
      <c r="I14">
        <v>107.5</v>
      </c>
      <c r="J14">
        <v>105.3</v>
      </c>
      <c r="K14">
        <v>108.1</v>
      </c>
      <c r="L14">
        <v>107.3</v>
      </c>
      <c r="M14">
        <v>106.1</v>
      </c>
      <c r="N14">
        <v>103.7</v>
      </c>
      <c r="O14">
        <v>104</v>
      </c>
      <c r="P14">
        <v>107.4</v>
      </c>
      <c r="Q14">
        <v>109.9</v>
      </c>
      <c r="R14">
        <v>108.1</v>
      </c>
      <c r="S14">
        <v>108.1</v>
      </c>
      <c r="T14">
        <v>108.8</v>
      </c>
      <c r="U14">
        <v>107.9</v>
      </c>
      <c r="V14">
        <v>108.6</v>
      </c>
      <c r="W14" s="3">
        <v>141</v>
      </c>
      <c r="X14">
        <v>107.5</v>
      </c>
      <c r="Y14">
        <v>106.8</v>
      </c>
      <c r="Z14">
        <v>105.7</v>
      </c>
      <c r="AA14">
        <v>104.1</v>
      </c>
      <c r="AB14">
        <v>105</v>
      </c>
      <c r="AC14">
        <v>105.5</v>
      </c>
      <c r="AD14">
        <v>102.1</v>
      </c>
      <c r="AE14">
        <v>104.8</v>
      </c>
      <c r="AF14">
        <v>107.2</v>
      </c>
      <c r="AG1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5" spans="1:33" hidden="1" x14ac:dyDescent="0.3">
      <c r="A15" t="s">
        <v>32</v>
      </c>
      <c r="B15">
        <v>2013</v>
      </c>
      <c r="C15" t="s">
        <v>37</v>
      </c>
      <c r="D15" s="10">
        <f>DATE(All_India_Index_Upto_April23__13[[#This Row],[Year]],All_India_Index_Upto_April23__13[[#This Row],[Month Number]],1)</f>
        <v>41395</v>
      </c>
      <c r="E15" s="2" t="str">
        <f>IF(All_India_Index_Upto_April23__13[[#This Row],[Date]]&lt;DATE(2020, 3, 1),"Pre-COVID","Post-COVID")</f>
        <v>Pre-COVID</v>
      </c>
      <c r="F15">
        <v>115.4</v>
      </c>
      <c r="G15">
        <v>114.2</v>
      </c>
      <c r="H15">
        <v>102.7</v>
      </c>
      <c r="I15">
        <v>105.5</v>
      </c>
      <c r="J15">
        <v>101.5</v>
      </c>
      <c r="K15">
        <v>110.6</v>
      </c>
      <c r="L15">
        <v>123.7</v>
      </c>
      <c r="M15">
        <v>105.2</v>
      </c>
      <c r="N15">
        <v>101.9</v>
      </c>
      <c r="O15">
        <v>105</v>
      </c>
      <c r="P15">
        <v>109.1</v>
      </c>
      <c r="Q15">
        <v>111.3</v>
      </c>
      <c r="R15">
        <v>111.1</v>
      </c>
      <c r="S15">
        <v>109.8</v>
      </c>
      <c r="T15">
        <v>108.5</v>
      </c>
      <c r="U15">
        <v>106.7</v>
      </c>
      <c r="V15">
        <v>108.3</v>
      </c>
      <c r="W15" s="3">
        <v>100.5</v>
      </c>
      <c r="X15">
        <v>107.2</v>
      </c>
      <c r="Y15">
        <v>107.1</v>
      </c>
      <c r="Z15">
        <v>106.2</v>
      </c>
      <c r="AA15">
        <v>103.9</v>
      </c>
      <c r="AB15">
        <v>104.6</v>
      </c>
      <c r="AC15">
        <v>105.7</v>
      </c>
      <c r="AD15">
        <v>102.6</v>
      </c>
      <c r="AE15">
        <v>104.9</v>
      </c>
      <c r="AF15">
        <v>106.6</v>
      </c>
      <c r="AG1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6" spans="1:33" hidden="1" x14ac:dyDescent="0.3">
      <c r="A16" t="s">
        <v>33</v>
      </c>
      <c r="B16">
        <v>2021</v>
      </c>
      <c r="C16" t="s">
        <v>37</v>
      </c>
      <c r="D16" s="10">
        <f>DATE(All_India_Index_Upto_April23__13[[#This Row],[Year]],All_India_Index_Upto_April23__13[[#This Row],[Month Number]],1)</f>
        <v>44317</v>
      </c>
      <c r="E16" s="2" t="str">
        <f>IF(All_India_Index_Upto_April23__13[[#This Row],[Date]]&lt;DATE(2020, 3, 1),"Pre-COVID","Post-COVID")</f>
        <v>Post-COVID</v>
      </c>
      <c r="F16">
        <v>146.30000000000001</v>
      </c>
      <c r="G16">
        <v>200.5</v>
      </c>
      <c r="H16">
        <v>170.3</v>
      </c>
      <c r="I16">
        <v>156.1</v>
      </c>
      <c r="J16">
        <v>178.7</v>
      </c>
      <c r="K16">
        <v>167.1</v>
      </c>
      <c r="L16">
        <v>147.9</v>
      </c>
      <c r="M16">
        <v>165.4</v>
      </c>
      <c r="N16">
        <v>114.8</v>
      </c>
      <c r="O16">
        <v>168.2</v>
      </c>
      <c r="P16">
        <v>159.30000000000001</v>
      </c>
      <c r="Q16">
        <v>170.4</v>
      </c>
      <c r="R16">
        <v>160.69999999999999</v>
      </c>
      <c r="S16">
        <v>191.9</v>
      </c>
      <c r="T16">
        <v>161.80000000000001</v>
      </c>
      <c r="U16">
        <v>152.1</v>
      </c>
      <c r="V16">
        <v>160.4</v>
      </c>
      <c r="W16" s="3">
        <v>161.6</v>
      </c>
      <c r="X16">
        <v>159.4</v>
      </c>
      <c r="Y16">
        <v>154.69999999999999</v>
      </c>
      <c r="Z16">
        <v>165.8</v>
      </c>
      <c r="AA16">
        <v>148.9</v>
      </c>
      <c r="AB16">
        <v>155.80000000000001</v>
      </c>
      <c r="AC16">
        <v>161.19999999999999</v>
      </c>
      <c r="AD16">
        <v>158.6</v>
      </c>
      <c r="AE16">
        <v>156.80000000000001</v>
      </c>
      <c r="AF16">
        <v>160.4</v>
      </c>
      <c r="AG1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7" spans="1:33" hidden="1" x14ac:dyDescent="0.3">
      <c r="A17" t="s">
        <v>30</v>
      </c>
      <c r="B17">
        <v>2013</v>
      </c>
      <c r="C17" t="s">
        <v>38</v>
      </c>
      <c r="D17" s="10">
        <f>DATE(All_India_Index_Upto_April23__13[[#This Row],[Year]],All_India_Index_Upto_April23__13[[#This Row],[Month Number]],1)</f>
        <v>41426</v>
      </c>
      <c r="E17" s="2" t="str">
        <f>IF(All_India_Index_Upto_April23__13[[#This Row],[Date]]&lt;DATE(2020, 3, 1),"Pre-COVID","Post-COVID")</f>
        <v>Pre-COVID</v>
      </c>
      <c r="F17">
        <v>112.3</v>
      </c>
      <c r="G17">
        <v>112.1</v>
      </c>
      <c r="H17">
        <v>108.1</v>
      </c>
      <c r="I17">
        <v>108.3</v>
      </c>
      <c r="J17">
        <v>105.9</v>
      </c>
      <c r="K17">
        <v>109.2</v>
      </c>
      <c r="L17">
        <v>118</v>
      </c>
      <c r="M17">
        <v>106.8</v>
      </c>
      <c r="N17">
        <v>104.1</v>
      </c>
      <c r="O17">
        <v>105.4</v>
      </c>
      <c r="P17">
        <v>108.2</v>
      </c>
      <c r="Q17">
        <v>111</v>
      </c>
      <c r="R17">
        <v>110.6</v>
      </c>
      <c r="S17">
        <v>109</v>
      </c>
      <c r="T17">
        <v>109.7</v>
      </c>
      <c r="U17">
        <v>108.8</v>
      </c>
      <c r="V17">
        <v>109.5</v>
      </c>
      <c r="W17" s="3">
        <v>141</v>
      </c>
      <c r="X17">
        <v>108.5</v>
      </c>
      <c r="Y17">
        <v>107.5</v>
      </c>
      <c r="Z17">
        <v>106.3</v>
      </c>
      <c r="AA17">
        <v>105</v>
      </c>
      <c r="AB17">
        <v>105.6</v>
      </c>
      <c r="AC17">
        <v>106.5</v>
      </c>
      <c r="AD17">
        <v>102.5</v>
      </c>
      <c r="AE17">
        <v>105.5</v>
      </c>
      <c r="AF17">
        <v>108.9</v>
      </c>
      <c r="AG1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8" spans="1:33" hidden="1" x14ac:dyDescent="0.3">
      <c r="A18" t="s">
        <v>32</v>
      </c>
      <c r="B18">
        <v>2013</v>
      </c>
      <c r="C18" t="s">
        <v>38</v>
      </c>
      <c r="D18" s="10">
        <f>DATE(All_India_Index_Upto_April23__13[[#This Row],[Year]],All_India_Index_Upto_April23__13[[#This Row],[Month Number]],1)</f>
        <v>41426</v>
      </c>
      <c r="E18" s="2" t="str">
        <f>IF(All_India_Index_Upto_April23__13[[#This Row],[Date]]&lt;DATE(2020, 3, 1),"Pre-COVID","Post-COVID")</f>
        <v>Pre-COVID</v>
      </c>
      <c r="F18">
        <v>117</v>
      </c>
      <c r="G18">
        <v>120.1</v>
      </c>
      <c r="H18">
        <v>112.5</v>
      </c>
      <c r="I18">
        <v>107.3</v>
      </c>
      <c r="J18">
        <v>101.3</v>
      </c>
      <c r="K18">
        <v>112.4</v>
      </c>
      <c r="L18">
        <v>143.6</v>
      </c>
      <c r="M18">
        <v>105.4</v>
      </c>
      <c r="N18">
        <v>101.4</v>
      </c>
      <c r="O18">
        <v>106.4</v>
      </c>
      <c r="P18">
        <v>110</v>
      </c>
      <c r="Q18">
        <v>112.2</v>
      </c>
      <c r="R18">
        <v>115</v>
      </c>
      <c r="S18">
        <v>110.9</v>
      </c>
      <c r="T18">
        <v>109.2</v>
      </c>
      <c r="U18">
        <v>107.2</v>
      </c>
      <c r="V18">
        <v>108.9</v>
      </c>
      <c r="W18" s="3">
        <v>106.6</v>
      </c>
      <c r="X18">
        <v>108</v>
      </c>
      <c r="Y18">
        <v>107.7</v>
      </c>
      <c r="Z18">
        <v>106.5</v>
      </c>
      <c r="AA18">
        <v>105.2</v>
      </c>
      <c r="AB18">
        <v>105.2</v>
      </c>
      <c r="AC18">
        <v>108.1</v>
      </c>
      <c r="AD18">
        <v>103.3</v>
      </c>
      <c r="AE18">
        <v>106.1</v>
      </c>
      <c r="AF18">
        <v>109.7</v>
      </c>
      <c r="AG1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9" spans="1:33" hidden="1" x14ac:dyDescent="0.3">
      <c r="A19" t="s">
        <v>33</v>
      </c>
      <c r="B19">
        <v>2021</v>
      </c>
      <c r="C19" t="s">
        <v>38</v>
      </c>
      <c r="D19" s="10">
        <f>DATE(All_India_Index_Upto_April23__13[[#This Row],[Year]],All_India_Index_Upto_April23__13[[#This Row],[Month Number]],1)</f>
        <v>44348</v>
      </c>
      <c r="E19" s="2" t="str">
        <f>IF(All_India_Index_Upto_April23__13[[#This Row],[Date]]&lt;DATE(2020, 3, 1),"Pre-COVID","Post-COVID")</f>
        <v>Post-COVID</v>
      </c>
      <c r="F19">
        <v>146.69999999999999</v>
      </c>
      <c r="G19">
        <v>202</v>
      </c>
      <c r="H19">
        <v>180.7</v>
      </c>
      <c r="I19">
        <v>156.19999999999999</v>
      </c>
      <c r="J19">
        <v>183.7</v>
      </c>
      <c r="K19">
        <v>164.6</v>
      </c>
      <c r="L19">
        <v>155.4</v>
      </c>
      <c r="M19">
        <v>166</v>
      </c>
      <c r="N19">
        <v>115.1</v>
      </c>
      <c r="O19">
        <v>168.5</v>
      </c>
      <c r="P19">
        <v>160</v>
      </c>
      <c r="Q19">
        <v>172.4</v>
      </c>
      <c r="R19">
        <v>162.6</v>
      </c>
      <c r="S19">
        <v>190.8</v>
      </c>
      <c r="T19">
        <v>162.19999999999999</v>
      </c>
      <c r="U19">
        <v>151.80000000000001</v>
      </c>
      <c r="V19">
        <v>160.69999999999999</v>
      </c>
      <c r="W19" s="3">
        <v>160.5</v>
      </c>
      <c r="X19">
        <v>159.80000000000001</v>
      </c>
      <c r="Y19">
        <v>154.80000000000001</v>
      </c>
      <c r="Z19">
        <v>166.3</v>
      </c>
      <c r="AA19">
        <v>150.69999999999999</v>
      </c>
      <c r="AB19">
        <v>154.9</v>
      </c>
      <c r="AC19">
        <v>161.69999999999999</v>
      </c>
      <c r="AD19">
        <v>158.80000000000001</v>
      </c>
      <c r="AE19">
        <v>157.6</v>
      </c>
      <c r="AF19">
        <v>161.30000000000001</v>
      </c>
      <c r="AG1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0" spans="1:33" hidden="1" x14ac:dyDescent="0.3">
      <c r="A20" t="s">
        <v>30</v>
      </c>
      <c r="B20">
        <v>2013</v>
      </c>
      <c r="C20" t="s">
        <v>39</v>
      </c>
      <c r="D20" s="10">
        <f>DATE(All_India_Index_Upto_April23__13[[#This Row],[Year]],All_India_Index_Upto_April23__13[[#This Row],[Month Number]],1)</f>
        <v>41456</v>
      </c>
      <c r="E20" s="2" t="str">
        <f>IF(All_India_Index_Upto_April23__13[[#This Row],[Date]]&lt;DATE(2020, 3, 1),"Pre-COVID","Post-COVID")</f>
        <v>Pre-COVID</v>
      </c>
      <c r="F20">
        <v>113.4</v>
      </c>
      <c r="G20">
        <v>114.9</v>
      </c>
      <c r="H20">
        <v>110.5</v>
      </c>
      <c r="I20">
        <v>109.3</v>
      </c>
      <c r="J20">
        <v>106.2</v>
      </c>
      <c r="K20">
        <v>110.3</v>
      </c>
      <c r="L20">
        <v>129.19999999999999</v>
      </c>
      <c r="M20">
        <v>107.1</v>
      </c>
      <c r="N20">
        <v>104.3</v>
      </c>
      <c r="O20">
        <v>106.4</v>
      </c>
      <c r="P20">
        <v>109.1</v>
      </c>
      <c r="Q20">
        <v>112.1</v>
      </c>
      <c r="R20">
        <v>113.1</v>
      </c>
      <c r="S20">
        <v>109.8</v>
      </c>
      <c r="T20">
        <v>110.5</v>
      </c>
      <c r="U20">
        <v>109.5</v>
      </c>
      <c r="V20">
        <v>110.3</v>
      </c>
      <c r="W20" s="3">
        <v>141</v>
      </c>
      <c r="X20">
        <v>109.5</v>
      </c>
      <c r="Y20">
        <v>108.3</v>
      </c>
      <c r="Z20">
        <v>106.9</v>
      </c>
      <c r="AA20">
        <v>106.8</v>
      </c>
      <c r="AB20">
        <v>106.4</v>
      </c>
      <c r="AC20">
        <v>107.8</v>
      </c>
      <c r="AD20">
        <v>102.5</v>
      </c>
      <c r="AE20">
        <v>106.5</v>
      </c>
      <c r="AF20">
        <v>110.7</v>
      </c>
      <c r="AG2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1" spans="1:33" hidden="1" x14ac:dyDescent="0.3">
      <c r="A21" t="s">
        <v>32</v>
      </c>
      <c r="B21">
        <v>2013</v>
      </c>
      <c r="C21" t="s">
        <v>39</v>
      </c>
      <c r="D21" s="10">
        <f>DATE(All_India_Index_Upto_April23__13[[#This Row],[Year]],All_India_Index_Upto_April23__13[[#This Row],[Month Number]],1)</f>
        <v>41456</v>
      </c>
      <c r="E21" s="2" t="str">
        <f>IF(All_India_Index_Upto_April23__13[[#This Row],[Date]]&lt;DATE(2020, 3, 1),"Pre-COVID","Post-COVID")</f>
        <v>Pre-COVID</v>
      </c>
      <c r="F21">
        <v>117.8</v>
      </c>
      <c r="G21">
        <v>119.2</v>
      </c>
      <c r="H21">
        <v>114</v>
      </c>
      <c r="I21">
        <v>108.3</v>
      </c>
      <c r="J21">
        <v>101.1</v>
      </c>
      <c r="K21">
        <v>113.2</v>
      </c>
      <c r="L21">
        <v>160.9</v>
      </c>
      <c r="M21">
        <v>105.1</v>
      </c>
      <c r="N21">
        <v>101.3</v>
      </c>
      <c r="O21">
        <v>107.5</v>
      </c>
      <c r="P21">
        <v>110.4</v>
      </c>
      <c r="Q21">
        <v>113.1</v>
      </c>
      <c r="R21">
        <v>117.5</v>
      </c>
      <c r="S21">
        <v>111.7</v>
      </c>
      <c r="T21">
        <v>109.8</v>
      </c>
      <c r="U21">
        <v>107.8</v>
      </c>
      <c r="V21">
        <v>109.5</v>
      </c>
      <c r="W21" s="3">
        <v>107.7</v>
      </c>
      <c r="X21">
        <v>108.6</v>
      </c>
      <c r="Y21">
        <v>108.1</v>
      </c>
      <c r="Z21">
        <v>107.1</v>
      </c>
      <c r="AA21">
        <v>107.3</v>
      </c>
      <c r="AB21">
        <v>105.9</v>
      </c>
      <c r="AC21">
        <v>110.1</v>
      </c>
      <c r="AD21">
        <v>103.2</v>
      </c>
      <c r="AE21">
        <v>107.3</v>
      </c>
      <c r="AF21">
        <v>111.4</v>
      </c>
      <c r="AG2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2" spans="1:33" hidden="1" x14ac:dyDescent="0.3">
      <c r="A22" t="s">
        <v>33</v>
      </c>
      <c r="B22">
        <v>2021</v>
      </c>
      <c r="C22" t="s">
        <v>39</v>
      </c>
      <c r="D22" s="10">
        <f>DATE(All_India_Index_Upto_April23__13[[#This Row],[Year]],All_India_Index_Upto_April23__13[[#This Row],[Month Number]],1)</f>
        <v>44378</v>
      </c>
      <c r="E22" s="2" t="str">
        <f>IF(All_India_Index_Upto_April23__13[[#This Row],[Date]]&lt;DATE(2020, 3, 1),"Pre-COVID","Post-COVID")</f>
        <v>Post-COVID</v>
      </c>
      <c r="F22">
        <v>146.4</v>
      </c>
      <c r="G22">
        <v>206.8</v>
      </c>
      <c r="H22">
        <v>182.2</v>
      </c>
      <c r="I22">
        <v>157.5</v>
      </c>
      <c r="J22">
        <v>182.1</v>
      </c>
      <c r="K22">
        <v>163.9</v>
      </c>
      <c r="L22">
        <v>164.2</v>
      </c>
      <c r="M22">
        <v>164</v>
      </c>
      <c r="N22">
        <v>114.5</v>
      </c>
      <c r="O22">
        <v>168.3</v>
      </c>
      <c r="P22">
        <v>160.9</v>
      </c>
      <c r="Q22">
        <v>172.2</v>
      </c>
      <c r="R22">
        <v>164</v>
      </c>
      <c r="S22">
        <v>191.2</v>
      </c>
      <c r="T22">
        <v>162.80000000000001</v>
      </c>
      <c r="U22">
        <v>153.1</v>
      </c>
      <c r="V22">
        <v>161.4</v>
      </c>
      <c r="W22" s="3">
        <v>161.5</v>
      </c>
      <c r="X22">
        <v>160.69999999999999</v>
      </c>
      <c r="Y22">
        <v>155.80000000000001</v>
      </c>
      <c r="Z22">
        <v>167</v>
      </c>
      <c r="AA22">
        <v>153.1</v>
      </c>
      <c r="AB22">
        <v>155.30000000000001</v>
      </c>
      <c r="AC22">
        <v>163.19999999999999</v>
      </c>
      <c r="AD22">
        <v>160.1</v>
      </c>
      <c r="AE22">
        <v>159</v>
      </c>
      <c r="AF22">
        <v>162.5</v>
      </c>
      <c r="AG2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3" spans="1:33" hidden="1" x14ac:dyDescent="0.3">
      <c r="A23" t="s">
        <v>30</v>
      </c>
      <c r="B23">
        <v>2013</v>
      </c>
      <c r="C23" t="s">
        <v>40</v>
      </c>
      <c r="D23" s="10">
        <f>DATE(All_India_Index_Upto_April23__13[[#This Row],[Year]],All_India_Index_Upto_April23__13[[#This Row],[Month Number]],1)</f>
        <v>41487</v>
      </c>
      <c r="E23" s="2" t="str">
        <f>IF(All_India_Index_Upto_April23__13[[#This Row],[Date]]&lt;DATE(2020, 3, 1),"Pre-COVID","Post-COVID")</f>
        <v>Pre-COVID</v>
      </c>
      <c r="F23">
        <v>114.3</v>
      </c>
      <c r="G23">
        <v>115.4</v>
      </c>
      <c r="H23">
        <v>111.1</v>
      </c>
      <c r="I23">
        <v>110</v>
      </c>
      <c r="J23">
        <v>106.4</v>
      </c>
      <c r="K23">
        <v>110.8</v>
      </c>
      <c r="L23">
        <v>138.9</v>
      </c>
      <c r="M23">
        <v>107.4</v>
      </c>
      <c r="N23">
        <v>104.1</v>
      </c>
      <c r="O23">
        <v>106.9</v>
      </c>
      <c r="P23">
        <v>109.7</v>
      </c>
      <c r="Q23">
        <v>112.6</v>
      </c>
      <c r="R23">
        <v>114.9</v>
      </c>
      <c r="S23">
        <v>110.7</v>
      </c>
      <c r="T23">
        <v>111.3</v>
      </c>
      <c r="U23">
        <v>110.2</v>
      </c>
      <c r="V23">
        <v>111.1</v>
      </c>
      <c r="W23" s="3">
        <v>141</v>
      </c>
      <c r="X23">
        <v>109.9</v>
      </c>
      <c r="Y23">
        <v>108.7</v>
      </c>
      <c r="Z23">
        <v>107.5</v>
      </c>
      <c r="AA23">
        <v>107.8</v>
      </c>
      <c r="AB23">
        <v>106.8</v>
      </c>
      <c r="AC23">
        <v>108.7</v>
      </c>
      <c r="AD23">
        <v>105</v>
      </c>
      <c r="AE23">
        <v>107.5</v>
      </c>
      <c r="AF23">
        <v>112.1</v>
      </c>
      <c r="AG2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4" spans="1:33" hidden="1" x14ac:dyDescent="0.3">
      <c r="A24" t="s">
        <v>32</v>
      </c>
      <c r="B24">
        <v>2013</v>
      </c>
      <c r="C24" t="s">
        <v>40</v>
      </c>
      <c r="D24" s="10">
        <f>DATE(All_India_Index_Upto_April23__13[[#This Row],[Year]],All_India_Index_Upto_April23__13[[#This Row],[Month Number]],1)</f>
        <v>41487</v>
      </c>
      <c r="E24" s="2" t="str">
        <f>IF(All_India_Index_Upto_April23__13[[#This Row],[Date]]&lt;DATE(2020, 3, 1),"Pre-COVID","Post-COVID")</f>
        <v>Pre-COVID</v>
      </c>
      <c r="F24">
        <v>118.3</v>
      </c>
      <c r="G24">
        <v>120.4</v>
      </c>
      <c r="H24">
        <v>112.7</v>
      </c>
      <c r="I24">
        <v>108.9</v>
      </c>
      <c r="J24">
        <v>101.1</v>
      </c>
      <c r="K24">
        <v>108.7</v>
      </c>
      <c r="L24">
        <v>177</v>
      </c>
      <c r="M24">
        <v>104.7</v>
      </c>
      <c r="N24">
        <v>101</v>
      </c>
      <c r="O24">
        <v>108.5</v>
      </c>
      <c r="P24">
        <v>110.9</v>
      </c>
      <c r="Q24">
        <v>114.3</v>
      </c>
      <c r="R24">
        <v>119.6</v>
      </c>
      <c r="S24">
        <v>112.4</v>
      </c>
      <c r="T24">
        <v>110.6</v>
      </c>
      <c r="U24">
        <v>108.3</v>
      </c>
      <c r="V24">
        <v>110.2</v>
      </c>
      <c r="W24" s="3">
        <v>108.9</v>
      </c>
      <c r="X24">
        <v>109.3</v>
      </c>
      <c r="Y24">
        <v>108.7</v>
      </c>
      <c r="Z24">
        <v>107.6</v>
      </c>
      <c r="AA24">
        <v>108.1</v>
      </c>
      <c r="AB24">
        <v>106.5</v>
      </c>
      <c r="AC24">
        <v>110.8</v>
      </c>
      <c r="AD24">
        <v>106</v>
      </c>
      <c r="AE24">
        <v>108.3</v>
      </c>
      <c r="AF24">
        <v>112.7</v>
      </c>
      <c r="AG2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5" spans="1:33" hidden="1" x14ac:dyDescent="0.3">
      <c r="A25" t="s">
        <v>33</v>
      </c>
      <c r="B25">
        <v>2021</v>
      </c>
      <c r="C25" t="s">
        <v>40</v>
      </c>
      <c r="D25" s="10">
        <f>DATE(All_India_Index_Upto_April23__13[[#This Row],[Year]],All_India_Index_Upto_April23__13[[#This Row],[Month Number]],1)</f>
        <v>44409</v>
      </c>
      <c r="E25" s="2" t="str">
        <f>IF(All_India_Index_Upto_April23__13[[#This Row],[Date]]&lt;DATE(2020, 3, 1),"Pre-COVID","Post-COVID")</f>
        <v>Post-COVID</v>
      </c>
      <c r="F25">
        <v>146.6</v>
      </c>
      <c r="G25">
        <v>204</v>
      </c>
      <c r="H25">
        <v>172.8</v>
      </c>
      <c r="I25">
        <v>158.4</v>
      </c>
      <c r="J25">
        <v>188</v>
      </c>
      <c r="K25">
        <v>156.80000000000001</v>
      </c>
      <c r="L25">
        <v>162.19999999999999</v>
      </c>
      <c r="M25">
        <v>164.1</v>
      </c>
      <c r="N25">
        <v>119.7</v>
      </c>
      <c r="O25">
        <v>168.8</v>
      </c>
      <c r="P25">
        <v>162.69999999999999</v>
      </c>
      <c r="Q25">
        <v>173.9</v>
      </c>
      <c r="R25">
        <v>164</v>
      </c>
      <c r="S25">
        <v>192.1</v>
      </c>
      <c r="T25">
        <v>164.5</v>
      </c>
      <c r="U25">
        <v>155.30000000000001</v>
      </c>
      <c r="V25">
        <v>163.19999999999999</v>
      </c>
      <c r="W25" s="3">
        <v>162.1</v>
      </c>
      <c r="X25">
        <v>162.6</v>
      </c>
      <c r="Y25">
        <v>157.5</v>
      </c>
      <c r="Z25">
        <v>168.4</v>
      </c>
      <c r="AA25">
        <v>154</v>
      </c>
      <c r="AB25">
        <v>157.6</v>
      </c>
      <c r="AC25">
        <v>163.80000000000001</v>
      </c>
      <c r="AD25">
        <v>160</v>
      </c>
      <c r="AE25">
        <v>160</v>
      </c>
      <c r="AF25">
        <v>163.19999999999999</v>
      </c>
      <c r="AG2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6" spans="1:33" hidden="1" x14ac:dyDescent="0.3">
      <c r="A26" t="s">
        <v>30</v>
      </c>
      <c r="B26">
        <v>2013</v>
      </c>
      <c r="C26" t="s">
        <v>41</v>
      </c>
      <c r="D26" s="10">
        <f>DATE(All_India_Index_Upto_April23__13[[#This Row],[Year]],All_India_Index_Upto_April23__13[[#This Row],[Month Number]],1)</f>
        <v>41518</v>
      </c>
      <c r="E26" s="2" t="str">
        <f>IF(All_India_Index_Upto_April23__13[[#This Row],[Date]]&lt;DATE(2020, 3, 1),"Pre-COVID","Post-COVID")</f>
        <v>Pre-COVID</v>
      </c>
      <c r="F26">
        <v>115.4</v>
      </c>
      <c r="G26">
        <v>115.7</v>
      </c>
      <c r="H26">
        <v>111.7</v>
      </c>
      <c r="I26">
        <v>111</v>
      </c>
      <c r="J26">
        <v>107.4</v>
      </c>
      <c r="K26">
        <v>110.9</v>
      </c>
      <c r="L26">
        <v>154</v>
      </c>
      <c r="M26">
        <v>108.1</v>
      </c>
      <c r="N26">
        <v>104.2</v>
      </c>
      <c r="O26">
        <v>107.9</v>
      </c>
      <c r="P26">
        <v>110.4</v>
      </c>
      <c r="Q26">
        <v>114</v>
      </c>
      <c r="R26">
        <v>117.8</v>
      </c>
      <c r="S26">
        <v>111.7</v>
      </c>
      <c r="T26">
        <v>112.7</v>
      </c>
      <c r="U26">
        <v>111.4</v>
      </c>
      <c r="V26">
        <v>112.5</v>
      </c>
      <c r="W26" s="3">
        <v>141</v>
      </c>
      <c r="X26">
        <v>111.1</v>
      </c>
      <c r="Y26">
        <v>109.6</v>
      </c>
      <c r="Z26">
        <v>108.3</v>
      </c>
      <c r="AA26">
        <v>109.3</v>
      </c>
      <c r="AB26">
        <v>107.7</v>
      </c>
      <c r="AC26">
        <v>109.8</v>
      </c>
      <c r="AD26">
        <v>106.7</v>
      </c>
      <c r="AE26">
        <v>108.7</v>
      </c>
      <c r="AF26">
        <v>114.2</v>
      </c>
      <c r="AG2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7" spans="1:33" hidden="1" x14ac:dyDescent="0.3">
      <c r="A27" t="s">
        <v>32</v>
      </c>
      <c r="B27">
        <v>2013</v>
      </c>
      <c r="C27" t="s">
        <v>41</v>
      </c>
      <c r="D27" s="10">
        <f>DATE(All_India_Index_Upto_April23__13[[#This Row],[Year]],All_India_Index_Upto_April23__13[[#This Row],[Month Number]],1)</f>
        <v>41518</v>
      </c>
      <c r="E27" s="2" t="str">
        <f>IF(All_India_Index_Upto_April23__13[[#This Row],[Date]]&lt;DATE(2020, 3, 1),"Pre-COVID","Post-COVID")</f>
        <v>Pre-COVID</v>
      </c>
      <c r="F27">
        <v>118.6</v>
      </c>
      <c r="G27">
        <v>119.1</v>
      </c>
      <c r="H27">
        <v>113.2</v>
      </c>
      <c r="I27">
        <v>109.6</v>
      </c>
      <c r="J27">
        <v>101.7</v>
      </c>
      <c r="K27">
        <v>103.2</v>
      </c>
      <c r="L27">
        <v>174.3</v>
      </c>
      <c r="M27">
        <v>105.1</v>
      </c>
      <c r="N27">
        <v>100.8</v>
      </c>
      <c r="O27">
        <v>109.1</v>
      </c>
      <c r="P27">
        <v>111.1</v>
      </c>
      <c r="Q27">
        <v>115.4</v>
      </c>
      <c r="R27">
        <v>119.2</v>
      </c>
      <c r="S27">
        <v>112.9</v>
      </c>
      <c r="T27">
        <v>111.4</v>
      </c>
      <c r="U27">
        <v>109</v>
      </c>
      <c r="V27">
        <v>111.1</v>
      </c>
      <c r="W27" s="3">
        <v>109.7</v>
      </c>
      <c r="X27">
        <v>109.5</v>
      </c>
      <c r="Y27">
        <v>109.6</v>
      </c>
      <c r="Z27">
        <v>107.9</v>
      </c>
      <c r="AA27">
        <v>110.4</v>
      </c>
      <c r="AB27">
        <v>107.4</v>
      </c>
      <c r="AC27">
        <v>111.2</v>
      </c>
      <c r="AD27">
        <v>106.9</v>
      </c>
      <c r="AE27">
        <v>109.4</v>
      </c>
      <c r="AF27">
        <v>113.2</v>
      </c>
      <c r="AG2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8" spans="1:33" hidden="1" x14ac:dyDescent="0.3">
      <c r="A28" t="s">
        <v>33</v>
      </c>
      <c r="B28">
        <v>2021</v>
      </c>
      <c r="C28" t="s">
        <v>41</v>
      </c>
      <c r="D28" s="10">
        <f>DATE(All_India_Index_Upto_April23__13[[#This Row],[Year]],All_India_Index_Upto_April23__13[[#This Row],[Month Number]],1)</f>
        <v>44440</v>
      </c>
      <c r="E28" s="2" t="str">
        <f>IF(All_India_Index_Upto_April23__13[[#This Row],[Date]]&lt;DATE(2020, 3, 1),"Pre-COVID","Post-COVID")</f>
        <v>Post-COVID</v>
      </c>
      <c r="F28">
        <v>146.6</v>
      </c>
      <c r="G28">
        <v>204</v>
      </c>
      <c r="H28">
        <v>172.8</v>
      </c>
      <c r="I28">
        <v>158.4</v>
      </c>
      <c r="J28">
        <v>188</v>
      </c>
      <c r="K28">
        <v>156.69999999999999</v>
      </c>
      <c r="L28">
        <v>162.30000000000001</v>
      </c>
      <c r="M28">
        <v>164.1</v>
      </c>
      <c r="N28">
        <v>119.7</v>
      </c>
      <c r="O28">
        <v>168.8</v>
      </c>
      <c r="P28">
        <v>162.69999999999999</v>
      </c>
      <c r="Q28">
        <v>173.9</v>
      </c>
      <c r="R28">
        <v>164</v>
      </c>
      <c r="S28">
        <v>192.1</v>
      </c>
      <c r="T28">
        <v>164.6</v>
      </c>
      <c r="U28">
        <v>155.30000000000001</v>
      </c>
      <c r="V28">
        <v>163.30000000000001</v>
      </c>
      <c r="W28" s="3">
        <v>162.1</v>
      </c>
      <c r="X28">
        <v>162.6</v>
      </c>
      <c r="Y28">
        <v>157.5</v>
      </c>
      <c r="Z28">
        <v>168.4</v>
      </c>
      <c r="AA28">
        <v>154</v>
      </c>
      <c r="AB28">
        <v>157.69999999999999</v>
      </c>
      <c r="AC28">
        <v>163.69999999999999</v>
      </c>
      <c r="AD28">
        <v>160</v>
      </c>
      <c r="AE28">
        <v>160</v>
      </c>
      <c r="AF28">
        <v>163.19999999999999</v>
      </c>
      <c r="AG2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9" spans="1:33" hidden="1" x14ac:dyDescent="0.3">
      <c r="A29" t="s">
        <v>30</v>
      </c>
      <c r="B29">
        <v>2013</v>
      </c>
      <c r="C29" t="s">
        <v>42</v>
      </c>
      <c r="D29" s="10">
        <f>DATE(All_India_Index_Upto_April23__13[[#This Row],[Year]],All_India_Index_Upto_April23__13[[#This Row],[Month Number]],1)</f>
        <v>41548</v>
      </c>
      <c r="E29" s="2" t="str">
        <f>IF(All_India_Index_Upto_April23__13[[#This Row],[Date]]&lt;DATE(2020, 3, 1),"Pre-COVID","Post-COVID")</f>
        <v>Pre-COVID</v>
      </c>
      <c r="F29">
        <v>116.3</v>
      </c>
      <c r="G29">
        <v>115.4</v>
      </c>
      <c r="H29">
        <v>112.6</v>
      </c>
      <c r="I29">
        <v>111.7</v>
      </c>
      <c r="J29">
        <v>107.7</v>
      </c>
      <c r="K29">
        <v>113.2</v>
      </c>
      <c r="L29">
        <v>164.9</v>
      </c>
      <c r="M29">
        <v>108.3</v>
      </c>
      <c r="N29">
        <v>103.9</v>
      </c>
      <c r="O29">
        <v>108.2</v>
      </c>
      <c r="P29">
        <v>111.1</v>
      </c>
      <c r="Q29">
        <v>114.9</v>
      </c>
      <c r="R29">
        <v>119.8</v>
      </c>
      <c r="S29">
        <v>112.2</v>
      </c>
      <c r="T29">
        <v>113.6</v>
      </c>
      <c r="U29">
        <v>112.3</v>
      </c>
      <c r="V29">
        <v>113.4</v>
      </c>
      <c r="W29" s="3">
        <v>141</v>
      </c>
      <c r="X29">
        <v>111.6</v>
      </c>
      <c r="Y29">
        <v>110.4</v>
      </c>
      <c r="Z29">
        <v>108.9</v>
      </c>
      <c r="AA29">
        <v>109.3</v>
      </c>
      <c r="AB29">
        <v>108.3</v>
      </c>
      <c r="AC29">
        <v>110.2</v>
      </c>
      <c r="AD29">
        <v>107.5</v>
      </c>
      <c r="AE29">
        <v>109.1</v>
      </c>
      <c r="AF29">
        <v>115.5</v>
      </c>
      <c r="AG2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0" spans="1:33" hidden="1" x14ac:dyDescent="0.3">
      <c r="A30" t="s">
        <v>32</v>
      </c>
      <c r="B30">
        <v>2013</v>
      </c>
      <c r="C30" t="s">
        <v>42</v>
      </c>
      <c r="D30" s="10">
        <f>DATE(All_India_Index_Upto_April23__13[[#This Row],[Year]],All_India_Index_Upto_April23__13[[#This Row],[Month Number]],1)</f>
        <v>41548</v>
      </c>
      <c r="E30" s="2" t="str">
        <f>IF(All_India_Index_Upto_April23__13[[#This Row],[Date]]&lt;DATE(2020, 3, 1),"Pre-COVID","Post-COVID")</f>
        <v>Pre-COVID</v>
      </c>
      <c r="F30">
        <v>118.9</v>
      </c>
      <c r="G30">
        <v>118.1</v>
      </c>
      <c r="H30">
        <v>114.5</v>
      </c>
      <c r="I30">
        <v>110.4</v>
      </c>
      <c r="J30">
        <v>102.3</v>
      </c>
      <c r="K30">
        <v>106.2</v>
      </c>
      <c r="L30">
        <v>183.5</v>
      </c>
      <c r="M30">
        <v>105.3</v>
      </c>
      <c r="N30">
        <v>100.2</v>
      </c>
      <c r="O30">
        <v>109.6</v>
      </c>
      <c r="P30">
        <v>111.4</v>
      </c>
      <c r="Q30">
        <v>116</v>
      </c>
      <c r="R30">
        <v>120.8</v>
      </c>
      <c r="S30">
        <v>113.5</v>
      </c>
      <c r="T30">
        <v>112.5</v>
      </c>
      <c r="U30">
        <v>109.7</v>
      </c>
      <c r="V30">
        <v>112</v>
      </c>
      <c r="W30" s="3">
        <v>110.5</v>
      </c>
      <c r="X30">
        <v>109.7</v>
      </c>
      <c r="Y30">
        <v>110.2</v>
      </c>
      <c r="Z30">
        <v>108.2</v>
      </c>
      <c r="AA30">
        <v>109.7</v>
      </c>
      <c r="AB30">
        <v>108</v>
      </c>
      <c r="AC30">
        <v>111.3</v>
      </c>
      <c r="AD30">
        <v>107.3</v>
      </c>
      <c r="AE30">
        <v>109.4</v>
      </c>
      <c r="AF30">
        <v>114</v>
      </c>
      <c r="AG3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1" spans="1:33" hidden="1" x14ac:dyDescent="0.3">
      <c r="A31" t="s">
        <v>33</v>
      </c>
      <c r="B31">
        <v>2021</v>
      </c>
      <c r="C31" t="s">
        <v>42</v>
      </c>
      <c r="D31" s="10">
        <f>DATE(All_India_Index_Upto_April23__13[[#This Row],[Year]],All_India_Index_Upto_April23__13[[#This Row],[Month Number]],1)</f>
        <v>44470</v>
      </c>
      <c r="E31" s="2" t="str">
        <f>IF(All_India_Index_Upto_April23__13[[#This Row],[Date]]&lt;DATE(2020, 3, 1),"Pre-COVID","Post-COVID")</f>
        <v>Post-COVID</v>
      </c>
      <c r="F31">
        <v>147.4</v>
      </c>
      <c r="G31">
        <v>204.6</v>
      </c>
      <c r="H31">
        <v>171.2</v>
      </c>
      <c r="I31">
        <v>158.69999999999999</v>
      </c>
      <c r="J31">
        <v>190.6</v>
      </c>
      <c r="K31">
        <v>155.69999999999999</v>
      </c>
      <c r="L31">
        <v>185.3</v>
      </c>
      <c r="M31">
        <v>165.2</v>
      </c>
      <c r="N31">
        <v>121.9</v>
      </c>
      <c r="O31">
        <v>169.3</v>
      </c>
      <c r="P31">
        <v>163.19999999999999</v>
      </c>
      <c r="Q31">
        <v>174.7</v>
      </c>
      <c r="R31">
        <v>167.7</v>
      </c>
      <c r="S31">
        <v>192.7</v>
      </c>
      <c r="T31">
        <v>165.7</v>
      </c>
      <c r="U31">
        <v>156.30000000000001</v>
      </c>
      <c r="V31">
        <v>164.3</v>
      </c>
      <c r="W31" s="3">
        <v>163.6</v>
      </c>
      <c r="X31">
        <v>164.2</v>
      </c>
      <c r="Y31">
        <v>158.4</v>
      </c>
      <c r="Z31">
        <v>169.1</v>
      </c>
      <c r="AA31">
        <v>155.69999999999999</v>
      </c>
      <c r="AB31">
        <v>158.6</v>
      </c>
      <c r="AC31">
        <v>163.9</v>
      </c>
      <c r="AD31">
        <v>160.80000000000001</v>
      </c>
      <c r="AE31">
        <v>161</v>
      </c>
      <c r="AF31">
        <v>165.5</v>
      </c>
      <c r="AG3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2" spans="1:33" hidden="1" x14ac:dyDescent="0.3">
      <c r="A32" t="s">
        <v>30</v>
      </c>
      <c r="B32">
        <v>2013</v>
      </c>
      <c r="C32" t="s">
        <v>43</v>
      </c>
      <c r="D32" s="10">
        <f>DATE(All_India_Index_Upto_April23__13[[#This Row],[Year]],All_India_Index_Upto_April23__13[[#This Row],[Month Number]],1)</f>
        <v>41579</v>
      </c>
      <c r="E32" s="2" t="str">
        <f>IF(All_India_Index_Upto_April23__13[[#This Row],[Date]]&lt;DATE(2020, 3, 1),"Pre-COVID","Post-COVID")</f>
        <v>Pre-COVID</v>
      </c>
      <c r="F32">
        <v>117.3</v>
      </c>
      <c r="G32">
        <v>114.9</v>
      </c>
      <c r="H32">
        <v>116.2</v>
      </c>
      <c r="I32">
        <v>112.8</v>
      </c>
      <c r="J32">
        <v>108.9</v>
      </c>
      <c r="K32">
        <v>116.6</v>
      </c>
      <c r="L32">
        <v>178.1</v>
      </c>
      <c r="M32">
        <v>109.1</v>
      </c>
      <c r="N32">
        <v>103.6</v>
      </c>
      <c r="O32">
        <v>109</v>
      </c>
      <c r="P32">
        <v>111.8</v>
      </c>
      <c r="Q32">
        <v>116</v>
      </c>
      <c r="R32">
        <v>122.5</v>
      </c>
      <c r="S32">
        <v>112.8</v>
      </c>
      <c r="T32">
        <v>114.6</v>
      </c>
      <c r="U32">
        <v>113.1</v>
      </c>
      <c r="V32">
        <v>114.4</v>
      </c>
      <c r="W32" s="3">
        <v>141</v>
      </c>
      <c r="X32">
        <v>112.6</v>
      </c>
      <c r="Y32">
        <v>111.3</v>
      </c>
      <c r="Z32">
        <v>109.7</v>
      </c>
      <c r="AA32">
        <v>109.6</v>
      </c>
      <c r="AB32">
        <v>108.7</v>
      </c>
      <c r="AC32">
        <v>111</v>
      </c>
      <c r="AD32">
        <v>108.2</v>
      </c>
      <c r="AE32">
        <v>109.8</v>
      </c>
      <c r="AF32">
        <v>117.4</v>
      </c>
      <c r="AG3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3" spans="1:33" hidden="1" x14ac:dyDescent="0.3">
      <c r="A33" t="s">
        <v>32</v>
      </c>
      <c r="B33">
        <v>2013</v>
      </c>
      <c r="C33" t="s">
        <v>43</v>
      </c>
      <c r="D33" s="10">
        <f>DATE(All_India_Index_Upto_April23__13[[#This Row],[Year]],All_India_Index_Upto_April23__13[[#This Row],[Month Number]],1)</f>
        <v>41579</v>
      </c>
      <c r="E33" s="2" t="str">
        <f>IF(All_India_Index_Upto_April23__13[[#This Row],[Date]]&lt;DATE(2020, 3, 1),"Pre-COVID","Post-COVID")</f>
        <v>Pre-COVID</v>
      </c>
      <c r="F33">
        <v>119.8</v>
      </c>
      <c r="G33">
        <v>116.3</v>
      </c>
      <c r="H33">
        <v>122.6</v>
      </c>
      <c r="I33">
        <v>112</v>
      </c>
      <c r="J33">
        <v>103.2</v>
      </c>
      <c r="K33">
        <v>110</v>
      </c>
      <c r="L33">
        <v>192.8</v>
      </c>
      <c r="M33">
        <v>106.3</v>
      </c>
      <c r="N33">
        <v>99.5</v>
      </c>
      <c r="O33">
        <v>110.3</v>
      </c>
      <c r="P33">
        <v>111.8</v>
      </c>
      <c r="Q33">
        <v>117.1</v>
      </c>
      <c r="R33">
        <v>122.9</v>
      </c>
      <c r="S33">
        <v>114.1</v>
      </c>
      <c r="T33">
        <v>113.5</v>
      </c>
      <c r="U33">
        <v>110.3</v>
      </c>
      <c r="V33">
        <v>113</v>
      </c>
      <c r="W33" s="3">
        <v>111.1</v>
      </c>
      <c r="X33">
        <v>110</v>
      </c>
      <c r="Y33">
        <v>110.9</v>
      </c>
      <c r="Z33">
        <v>108.6</v>
      </c>
      <c r="AA33">
        <v>109.5</v>
      </c>
      <c r="AB33">
        <v>108.5</v>
      </c>
      <c r="AC33">
        <v>111.3</v>
      </c>
      <c r="AD33">
        <v>107.9</v>
      </c>
      <c r="AE33">
        <v>109.6</v>
      </c>
      <c r="AF33">
        <v>115</v>
      </c>
      <c r="AG3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4" spans="1:33" hidden="1" x14ac:dyDescent="0.3">
      <c r="A34" t="s">
        <v>33</v>
      </c>
      <c r="B34">
        <v>2021</v>
      </c>
      <c r="C34" t="s">
        <v>43</v>
      </c>
      <c r="D34" s="10">
        <f>DATE(All_India_Index_Upto_April23__13[[#This Row],[Year]],All_India_Index_Upto_April23__13[[#This Row],[Month Number]],1)</f>
        <v>44501</v>
      </c>
      <c r="E34" s="2" t="str">
        <f>IF(All_India_Index_Upto_April23__13[[#This Row],[Date]]&lt;DATE(2020, 3, 1),"Pre-COVID","Post-COVID")</f>
        <v>Post-COVID</v>
      </c>
      <c r="F34">
        <v>148.19999999999999</v>
      </c>
      <c r="G34">
        <v>201.6</v>
      </c>
      <c r="H34">
        <v>173</v>
      </c>
      <c r="I34">
        <v>159.30000000000001</v>
      </c>
      <c r="J34">
        <v>190.1</v>
      </c>
      <c r="K34">
        <v>156.5</v>
      </c>
      <c r="L34">
        <v>199.2</v>
      </c>
      <c r="M34">
        <v>165.3</v>
      </c>
      <c r="N34">
        <v>122.4</v>
      </c>
      <c r="O34">
        <v>169.6</v>
      </c>
      <c r="P34">
        <v>163.69999999999999</v>
      </c>
      <c r="Q34">
        <v>175.5</v>
      </c>
      <c r="R34">
        <v>169.7</v>
      </c>
      <c r="S34">
        <v>192.9</v>
      </c>
      <c r="T34">
        <v>167.2</v>
      </c>
      <c r="U34">
        <v>157.4</v>
      </c>
      <c r="V34">
        <v>165.8</v>
      </c>
      <c r="W34" s="3">
        <v>164.2</v>
      </c>
      <c r="X34">
        <v>163.9</v>
      </c>
      <c r="Y34">
        <v>159.30000000000001</v>
      </c>
      <c r="Z34">
        <v>169.9</v>
      </c>
      <c r="AA34">
        <v>154.80000000000001</v>
      </c>
      <c r="AB34">
        <v>159.80000000000001</v>
      </c>
      <c r="AC34">
        <v>164.3</v>
      </c>
      <c r="AD34">
        <v>162.19999999999999</v>
      </c>
      <c r="AE34">
        <v>161.4</v>
      </c>
      <c r="AF34">
        <v>166.7</v>
      </c>
      <c r="AG3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5" spans="1:33" hidden="1" x14ac:dyDescent="0.3">
      <c r="A35" t="s">
        <v>30</v>
      </c>
      <c r="B35">
        <v>2013</v>
      </c>
      <c r="C35" t="s">
        <v>44</v>
      </c>
      <c r="D35" s="10">
        <f>DATE(All_India_Index_Upto_April23__13[[#This Row],[Year]],All_India_Index_Upto_April23__13[[#This Row],[Month Number]],1)</f>
        <v>41609</v>
      </c>
      <c r="E35" s="2" t="str">
        <f>IF(All_India_Index_Upto_April23__13[[#This Row],[Date]]&lt;DATE(2020, 3, 1),"Pre-COVID","Post-COVID")</f>
        <v>Pre-COVID</v>
      </c>
      <c r="F35">
        <v>118.4</v>
      </c>
      <c r="G35">
        <v>115.9</v>
      </c>
      <c r="H35">
        <v>120.4</v>
      </c>
      <c r="I35">
        <v>113.8</v>
      </c>
      <c r="J35">
        <v>109.5</v>
      </c>
      <c r="K35">
        <v>115.5</v>
      </c>
      <c r="L35">
        <v>145.69999999999999</v>
      </c>
      <c r="M35">
        <v>109.5</v>
      </c>
      <c r="N35">
        <v>102.9</v>
      </c>
      <c r="O35">
        <v>109.8</v>
      </c>
      <c r="P35">
        <v>112.1</v>
      </c>
      <c r="Q35">
        <v>116.8</v>
      </c>
      <c r="R35">
        <v>118.7</v>
      </c>
      <c r="S35">
        <v>113.6</v>
      </c>
      <c r="T35">
        <v>115.8</v>
      </c>
      <c r="U35">
        <v>114</v>
      </c>
      <c r="V35">
        <v>115.5</v>
      </c>
      <c r="W35" s="3">
        <v>141</v>
      </c>
      <c r="X35">
        <v>112.8</v>
      </c>
      <c r="Y35">
        <v>112.1</v>
      </c>
      <c r="Z35">
        <v>110.1</v>
      </c>
      <c r="AA35">
        <v>109.9</v>
      </c>
      <c r="AB35">
        <v>109.2</v>
      </c>
      <c r="AC35">
        <v>111.6</v>
      </c>
      <c r="AD35">
        <v>108.1</v>
      </c>
      <c r="AE35">
        <v>110.1</v>
      </c>
      <c r="AF35">
        <v>115.5</v>
      </c>
      <c r="AG3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6" spans="1:33" hidden="1" x14ac:dyDescent="0.3">
      <c r="A36" t="s">
        <v>32</v>
      </c>
      <c r="B36">
        <v>2013</v>
      </c>
      <c r="C36" t="s">
        <v>44</v>
      </c>
      <c r="D36" s="10">
        <f>DATE(All_India_Index_Upto_April23__13[[#This Row],[Year]],All_India_Index_Upto_April23__13[[#This Row],[Month Number]],1)</f>
        <v>41609</v>
      </c>
      <c r="E36" s="2" t="str">
        <f>IF(All_India_Index_Upto_April23__13[[#This Row],[Date]]&lt;DATE(2020, 3, 1),"Pre-COVID","Post-COVID")</f>
        <v>Pre-COVID</v>
      </c>
      <c r="F36">
        <v>120.5</v>
      </c>
      <c r="G36">
        <v>118.1</v>
      </c>
      <c r="H36">
        <v>128.5</v>
      </c>
      <c r="I36">
        <v>112.8</v>
      </c>
      <c r="J36">
        <v>103.4</v>
      </c>
      <c r="K36">
        <v>110.7</v>
      </c>
      <c r="L36">
        <v>144.80000000000001</v>
      </c>
      <c r="M36">
        <v>107.1</v>
      </c>
      <c r="N36">
        <v>98.6</v>
      </c>
      <c r="O36">
        <v>111.9</v>
      </c>
      <c r="P36">
        <v>112.1</v>
      </c>
      <c r="Q36">
        <v>118.1</v>
      </c>
      <c r="R36">
        <v>117.8</v>
      </c>
      <c r="S36">
        <v>115</v>
      </c>
      <c r="T36">
        <v>114.2</v>
      </c>
      <c r="U36">
        <v>110.9</v>
      </c>
      <c r="V36">
        <v>113.7</v>
      </c>
      <c r="W36" s="3">
        <v>110.7</v>
      </c>
      <c r="X36">
        <v>110.4</v>
      </c>
      <c r="Y36">
        <v>111.3</v>
      </c>
      <c r="Z36">
        <v>109</v>
      </c>
      <c r="AA36">
        <v>109.7</v>
      </c>
      <c r="AB36">
        <v>108.9</v>
      </c>
      <c r="AC36">
        <v>111.4</v>
      </c>
      <c r="AD36">
        <v>107.7</v>
      </c>
      <c r="AE36">
        <v>109.8</v>
      </c>
      <c r="AF36">
        <v>113.3</v>
      </c>
      <c r="AG3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7" spans="1:33" hidden="1" x14ac:dyDescent="0.3">
      <c r="A37" t="s">
        <v>33</v>
      </c>
      <c r="B37">
        <v>2021</v>
      </c>
      <c r="C37" t="s">
        <v>44</v>
      </c>
      <c r="D37" s="10">
        <f>DATE(All_India_Index_Upto_April23__13[[#This Row],[Year]],All_India_Index_Upto_April23__13[[#This Row],[Month Number]],1)</f>
        <v>44531</v>
      </c>
      <c r="E37" s="2" t="str">
        <f>IF(All_India_Index_Upto_April23__13[[#This Row],[Date]]&lt;DATE(2020, 3, 1),"Pre-COVID","Post-COVID")</f>
        <v>Post-COVID</v>
      </c>
      <c r="F37">
        <v>148.69999999999999</v>
      </c>
      <c r="G37">
        <v>198.8</v>
      </c>
      <c r="H37">
        <v>177.9</v>
      </c>
      <c r="I37">
        <v>159.9</v>
      </c>
      <c r="J37">
        <v>187.6</v>
      </c>
      <c r="K37">
        <v>154.9</v>
      </c>
      <c r="L37">
        <v>188.3</v>
      </c>
      <c r="M37">
        <v>164.4</v>
      </c>
      <c r="N37">
        <v>121</v>
      </c>
      <c r="O37">
        <v>170.5</v>
      </c>
      <c r="P37">
        <v>164.2</v>
      </c>
      <c r="Q37">
        <v>176.5</v>
      </c>
      <c r="R37">
        <v>168.2</v>
      </c>
      <c r="S37">
        <v>192.4</v>
      </c>
      <c r="T37">
        <v>168.5</v>
      </c>
      <c r="U37">
        <v>158.69999999999999</v>
      </c>
      <c r="V37">
        <v>167</v>
      </c>
      <c r="W37" s="3">
        <v>163.4</v>
      </c>
      <c r="X37">
        <v>164.1</v>
      </c>
      <c r="Y37">
        <v>160.19999999999999</v>
      </c>
      <c r="Z37">
        <v>170.6</v>
      </c>
      <c r="AA37">
        <v>155.69999999999999</v>
      </c>
      <c r="AB37">
        <v>160.6</v>
      </c>
      <c r="AC37">
        <v>164.4</v>
      </c>
      <c r="AD37">
        <v>162.6</v>
      </c>
      <c r="AE37">
        <v>162</v>
      </c>
      <c r="AF37">
        <v>166.2</v>
      </c>
      <c r="AG3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8" spans="1:33" hidden="1" x14ac:dyDescent="0.3">
      <c r="A38" t="s">
        <v>30</v>
      </c>
      <c r="B38">
        <v>2014</v>
      </c>
      <c r="C38" t="s">
        <v>31</v>
      </c>
      <c r="D38" s="10">
        <f>DATE(All_India_Index_Upto_April23__13[[#This Row],[Year]],All_India_Index_Upto_April23__13[[#This Row],[Month Number]],1)</f>
        <v>41640</v>
      </c>
      <c r="E38" s="2" t="str">
        <f>IF(All_India_Index_Upto_April23__13[[#This Row],[Date]]&lt;DATE(2020, 3, 1),"Pre-COVID","Post-COVID")</f>
        <v>Pre-COVID</v>
      </c>
      <c r="F38">
        <v>118.9</v>
      </c>
      <c r="G38">
        <v>117.1</v>
      </c>
      <c r="H38">
        <v>120.5</v>
      </c>
      <c r="I38">
        <v>114.4</v>
      </c>
      <c r="J38">
        <v>109</v>
      </c>
      <c r="K38">
        <v>115.5</v>
      </c>
      <c r="L38">
        <v>123.9</v>
      </c>
      <c r="M38">
        <v>109.6</v>
      </c>
      <c r="N38">
        <v>101.8</v>
      </c>
      <c r="O38">
        <v>110.2</v>
      </c>
      <c r="P38">
        <v>112.4</v>
      </c>
      <c r="Q38">
        <v>117.3</v>
      </c>
      <c r="R38">
        <v>116</v>
      </c>
      <c r="S38">
        <v>114</v>
      </c>
      <c r="T38">
        <v>116.5</v>
      </c>
      <c r="U38">
        <v>114.5</v>
      </c>
      <c r="V38">
        <v>116.2</v>
      </c>
      <c r="W38" s="3">
        <v>141</v>
      </c>
      <c r="X38">
        <v>113</v>
      </c>
      <c r="Y38">
        <v>112.6</v>
      </c>
      <c r="Z38">
        <v>110.6</v>
      </c>
      <c r="AA38">
        <v>110.5</v>
      </c>
      <c r="AB38">
        <v>109.6</v>
      </c>
      <c r="AC38">
        <v>111.8</v>
      </c>
      <c r="AD38">
        <v>108.3</v>
      </c>
      <c r="AE38">
        <v>110.6</v>
      </c>
      <c r="AF38">
        <v>114.2</v>
      </c>
      <c r="AG3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9" spans="1:33" hidden="1" x14ac:dyDescent="0.3">
      <c r="A39" t="s">
        <v>32</v>
      </c>
      <c r="B39">
        <v>2014</v>
      </c>
      <c r="C39" t="s">
        <v>31</v>
      </c>
      <c r="D39" s="10">
        <f>DATE(All_India_Index_Upto_April23__13[[#This Row],[Year]],All_India_Index_Upto_April23__13[[#This Row],[Month Number]],1)</f>
        <v>41640</v>
      </c>
      <c r="E39" s="2" t="str">
        <f>IF(All_India_Index_Upto_April23__13[[#This Row],[Date]]&lt;DATE(2020, 3, 1),"Pre-COVID","Post-COVID")</f>
        <v>Pre-COVID</v>
      </c>
      <c r="F39">
        <v>121.2</v>
      </c>
      <c r="G39">
        <v>122</v>
      </c>
      <c r="H39">
        <v>129.9</v>
      </c>
      <c r="I39">
        <v>113.6</v>
      </c>
      <c r="J39">
        <v>102.9</v>
      </c>
      <c r="K39">
        <v>112.1</v>
      </c>
      <c r="L39">
        <v>118.9</v>
      </c>
      <c r="M39">
        <v>107.5</v>
      </c>
      <c r="N39">
        <v>96.9</v>
      </c>
      <c r="O39">
        <v>112.7</v>
      </c>
      <c r="P39">
        <v>112.1</v>
      </c>
      <c r="Q39">
        <v>119</v>
      </c>
      <c r="R39">
        <v>115.5</v>
      </c>
      <c r="S39">
        <v>115.7</v>
      </c>
      <c r="T39">
        <v>114.8</v>
      </c>
      <c r="U39">
        <v>111.3</v>
      </c>
      <c r="V39">
        <v>114.3</v>
      </c>
      <c r="W39" s="3">
        <v>111.6</v>
      </c>
      <c r="X39">
        <v>111</v>
      </c>
      <c r="Y39">
        <v>111.9</v>
      </c>
      <c r="Z39">
        <v>109.7</v>
      </c>
      <c r="AA39">
        <v>110.8</v>
      </c>
      <c r="AB39">
        <v>109.8</v>
      </c>
      <c r="AC39">
        <v>111.5</v>
      </c>
      <c r="AD39">
        <v>108</v>
      </c>
      <c r="AE39">
        <v>110.5</v>
      </c>
      <c r="AF39">
        <v>112.9</v>
      </c>
      <c r="AG3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40" spans="1:33" hidden="1" x14ac:dyDescent="0.3">
      <c r="A40" t="s">
        <v>33</v>
      </c>
      <c r="B40">
        <v>2022</v>
      </c>
      <c r="C40" t="s">
        <v>31</v>
      </c>
      <c r="D40" s="10">
        <f>DATE(All_India_Index_Upto_April23__13[[#This Row],[Year]],All_India_Index_Upto_April23__13[[#This Row],[Month Number]],1)</f>
        <v>44562</v>
      </c>
      <c r="E40" s="2" t="str">
        <f>IF(All_India_Index_Upto_April23__13[[#This Row],[Date]]&lt;DATE(2020, 3, 1),"Pre-COVID","Post-COVID")</f>
        <v>Post-COVID</v>
      </c>
      <c r="F40">
        <v>149.5</v>
      </c>
      <c r="G40">
        <v>198.7</v>
      </c>
      <c r="H40">
        <v>178.8</v>
      </c>
      <c r="I40">
        <v>160.5</v>
      </c>
      <c r="J40">
        <v>184.7</v>
      </c>
      <c r="K40">
        <v>153.69999999999999</v>
      </c>
      <c r="L40">
        <v>174.3</v>
      </c>
      <c r="M40">
        <v>163.9</v>
      </c>
      <c r="N40">
        <v>120</v>
      </c>
      <c r="O40">
        <v>172.1</v>
      </c>
      <c r="P40">
        <v>164.3</v>
      </c>
      <c r="Q40">
        <v>177.3</v>
      </c>
      <c r="R40">
        <v>166.4</v>
      </c>
      <c r="S40">
        <v>192.2</v>
      </c>
      <c r="T40">
        <v>169.9</v>
      </c>
      <c r="U40">
        <v>160.69999999999999</v>
      </c>
      <c r="V40">
        <v>168.5</v>
      </c>
      <c r="W40" s="3">
        <v>164.5</v>
      </c>
      <c r="X40">
        <v>164.2</v>
      </c>
      <c r="Y40">
        <v>161.1</v>
      </c>
      <c r="Z40">
        <v>171.4</v>
      </c>
      <c r="AA40">
        <v>156.5</v>
      </c>
      <c r="AB40">
        <v>161.19999999999999</v>
      </c>
      <c r="AC40">
        <v>164.7</v>
      </c>
      <c r="AD40">
        <v>163</v>
      </c>
      <c r="AE40">
        <v>162.69999999999999</v>
      </c>
      <c r="AF40">
        <v>165.7</v>
      </c>
      <c r="AG4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41" spans="1:33" hidden="1" x14ac:dyDescent="0.3">
      <c r="A41" t="s">
        <v>30</v>
      </c>
      <c r="B41">
        <v>2014</v>
      </c>
      <c r="C41" t="s">
        <v>34</v>
      </c>
      <c r="D41" s="10">
        <f>DATE(All_India_Index_Upto_April23__13[[#This Row],[Year]],All_India_Index_Upto_April23__13[[#This Row],[Month Number]],1)</f>
        <v>41671</v>
      </c>
      <c r="E41" s="2" t="str">
        <f>IF(All_India_Index_Upto_April23__13[[#This Row],[Date]]&lt;DATE(2020, 3, 1),"Pre-COVID","Post-COVID")</f>
        <v>Pre-COVID</v>
      </c>
      <c r="F41">
        <v>119.4</v>
      </c>
      <c r="G41">
        <v>117.7</v>
      </c>
      <c r="H41">
        <v>121.2</v>
      </c>
      <c r="I41">
        <v>115</v>
      </c>
      <c r="J41">
        <v>109</v>
      </c>
      <c r="K41">
        <v>116.6</v>
      </c>
      <c r="L41">
        <v>116</v>
      </c>
      <c r="M41">
        <v>109.8</v>
      </c>
      <c r="N41">
        <v>101.1</v>
      </c>
      <c r="O41">
        <v>110.4</v>
      </c>
      <c r="P41">
        <v>112.9</v>
      </c>
      <c r="Q41">
        <v>117.8</v>
      </c>
      <c r="R41">
        <v>115.3</v>
      </c>
      <c r="S41">
        <v>114.2</v>
      </c>
      <c r="T41">
        <v>117.1</v>
      </c>
      <c r="U41">
        <v>114.5</v>
      </c>
      <c r="V41">
        <v>116.7</v>
      </c>
      <c r="W41" s="3">
        <v>141</v>
      </c>
      <c r="X41">
        <v>113.2</v>
      </c>
      <c r="Y41">
        <v>112.9</v>
      </c>
      <c r="Z41">
        <v>110.9</v>
      </c>
      <c r="AA41">
        <v>110.8</v>
      </c>
      <c r="AB41">
        <v>109.9</v>
      </c>
      <c r="AC41">
        <v>112</v>
      </c>
      <c r="AD41">
        <v>108.7</v>
      </c>
      <c r="AE41">
        <v>110.9</v>
      </c>
      <c r="AF41">
        <v>114</v>
      </c>
      <c r="AG4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42" spans="1:33" hidden="1" x14ac:dyDescent="0.3">
      <c r="A42" t="s">
        <v>32</v>
      </c>
      <c r="B42">
        <v>2014</v>
      </c>
      <c r="C42" t="s">
        <v>34</v>
      </c>
      <c r="D42" s="10">
        <f>DATE(All_India_Index_Upto_April23__13[[#This Row],[Year]],All_India_Index_Upto_April23__13[[#This Row],[Month Number]],1)</f>
        <v>41671</v>
      </c>
      <c r="E42" s="2" t="str">
        <f>IF(All_India_Index_Upto_April23__13[[#This Row],[Date]]&lt;DATE(2020, 3, 1),"Pre-COVID","Post-COVID")</f>
        <v>Pre-COVID</v>
      </c>
      <c r="F42">
        <v>121.9</v>
      </c>
      <c r="G42">
        <v>122</v>
      </c>
      <c r="H42">
        <v>124.5</v>
      </c>
      <c r="I42">
        <v>115.2</v>
      </c>
      <c r="J42">
        <v>102.5</v>
      </c>
      <c r="K42">
        <v>114.1</v>
      </c>
      <c r="L42">
        <v>111.5</v>
      </c>
      <c r="M42">
        <v>108.2</v>
      </c>
      <c r="N42">
        <v>95.4</v>
      </c>
      <c r="O42">
        <v>113.5</v>
      </c>
      <c r="P42">
        <v>112.1</v>
      </c>
      <c r="Q42">
        <v>119.9</v>
      </c>
      <c r="R42">
        <v>115.2</v>
      </c>
      <c r="S42">
        <v>116.2</v>
      </c>
      <c r="T42">
        <v>115.3</v>
      </c>
      <c r="U42">
        <v>111.7</v>
      </c>
      <c r="V42">
        <v>114.7</v>
      </c>
      <c r="W42" s="3">
        <v>112.5</v>
      </c>
      <c r="X42">
        <v>111.1</v>
      </c>
      <c r="Y42">
        <v>112.6</v>
      </c>
      <c r="Z42">
        <v>110.4</v>
      </c>
      <c r="AA42">
        <v>111.3</v>
      </c>
      <c r="AB42">
        <v>110.3</v>
      </c>
      <c r="AC42">
        <v>111.6</v>
      </c>
      <c r="AD42">
        <v>108.7</v>
      </c>
      <c r="AE42">
        <v>111</v>
      </c>
      <c r="AF42">
        <v>113.1</v>
      </c>
      <c r="AG4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43" spans="1:33" hidden="1" x14ac:dyDescent="0.3">
      <c r="A43" t="s">
        <v>33</v>
      </c>
      <c r="B43">
        <v>2022</v>
      </c>
      <c r="C43" t="s">
        <v>34</v>
      </c>
      <c r="D43" s="10">
        <f>DATE(All_India_Index_Upto_April23__13[[#This Row],[Year]],All_India_Index_Upto_April23__13[[#This Row],[Month Number]],1)</f>
        <v>44593</v>
      </c>
      <c r="E43" s="2" t="str">
        <f>IF(All_India_Index_Upto_April23__13[[#This Row],[Date]]&lt;DATE(2020, 3, 1),"Pre-COVID","Post-COVID")</f>
        <v>Post-COVID</v>
      </c>
      <c r="F43">
        <v>150</v>
      </c>
      <c r="G43">
        <v>200.6</v>
      </c>
      <c r="H43">
        <v>175.8</v>
      </c>
      <c r="I43">
        <v>160.69999999999999</v>
      </c>
      <c r="J43">
        <v>184.9</v>
      </c>
      <c r="K43">
        <v>153.69999999999999</v>
      </c>
      <c r="L43">
        <v>169.7</v>
      </c>
      <c r="M43">
        <v>163.69999999999999</v>
      </c>
      <c r="N43">
        <v>118.9</v>
      </c>
      <c r="O43">
        <v>174.3</v>
      </c>
      <c r="P43">
        <v>164.7</v>
      </c>
      <c r="Q43">
        <v>178</v>
      </c>
      <c r="R43">
        <v>166.2</v>
      </c>
      <c r="S43">
        <v>192.8</v>
      </c>
      <c r="T43">
        <v>170.8</v>
      </c>
      <c r="U43">
        <v>162.4</v>
      </c>
      <c r="V43">
        <v>169.6</v>
      </c>
      <c r="W43" s="3">
        <v>165.5</v>
      </c>
      <c r="X43">
        <v>165.7</v>
      </c>
      <c r="Y43">
        <v>161.80000000000001</v>
      </c>
      <c r="Z43">
        <v>172.2</v>
      </c>
      <c r="AA43">
        <v>156.9</v>
      </c>
      <c r="AB43">
        <v>162.1</v>
      </c>
      <c r="AC43">
        <v>165.4</v>
      </c>
      <c r="AD43">
        <v>164.4</v>
      </c>
      <c r="AE43">
        <v>163.5</v>
      </c>
      <c r="AF43">
        <v>166.1</v>
      </c>
      <c r="AG4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44" spans="1:33" hidden="1" x14ac:dyDescent="0.3">
      <c r="A44" t="s">
        <v>30</v>
      </c>
      <c r="B44">
        <v>2014</v>
      </c>
      <c r="C44" t="s">
        <v>35</v>
      </c>
      <c r="D44" s="10">
        <f>DATE(All_India_Index_Upto_April23__13[[#This Row],[Year]],All_India_Index_Upto_April23__13[[#This Row],[Month Number]],1)</f>
        <v>41699</v>
      </c>
      <c r="E44" s="2" t="str">
        <f>IF(All_India_Index_Upto_April23__13[[#This Row],[Date]]&lt;DATE(2020, 3, 1),"Pre-COVID","Post-COVID")</f>
        <v>Pre-COVID</v>
      </c>
      <c r="F44">
        <v>120.1</v>
      </c>
      <c r="G44">
        <v>118.1</v>
      </c>
      <c r="H44">
        <v>120.7</v>
      </c>
      <c r="I44">
        <v>116.1</v>
      </c>
      <c r="J44">
        <v>109.3</v>
      </c>
      <c r="K44">
        <v>119.6</v>
      </c>
      <c r="L44">
        <v>117.9</v>
      </c>
      <c r="M44">
        <v>110.2</v>
      </c>
      <c r="N44">
        <v>101.2</v>
      </c>
      <c r="O44">
        <v>110.7</v>
      </c>
      <c r="P44">
        <v>113</v>
      </c>
      <c r="Q44">
        <v>118.3</v>
      </c>
      <c r="R44">
        <v>116.2</v>
      </c>
      <c r="S44">
        <v>114.6</v>
      </c>
      <c r="T44">
        <v>117.5</v>
      </c>
      <c r="U44">
        <v>114.9</v>
      </c>
      <c r="V44">
        <v>117.2</v>
      </c>
      <c r="W44" s="3">
        <v>141</v>
      </c>
      <c r="X44">
        <v>113.4</v>
      </c>
      <c r="Y44">
        <v>113.4</v>
      </c>
      <c r="Z44">
        <v>111.4</v>
      </c>
      <c r="AA44">
        <v>111.2</v>
      </c>
      <c r="AB44">
        <v>110.2</v>
      </c>
      <c r="AC44">
        <v>112.4</v>
      </c>
      <c r="AD44">
        <v>108.9</v>
      </c>
      <c r="AE44">
        <v>111.3</v>
      </c>
      <c r="AF44">
        <v>114.6</v>
      </c>
      <c r="AG4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45" spans="1:33" hidden="1" x14ac:dyDescent="0.3">
      <c r="A45" t="s">
        <v>32</v>
      </c>
      <c r="B45">
        <v>2014</v>
      </c>
      <c r="C45" t="s">
        <v>35</v>
      </c>
      <c r="D45" s="10">
        <f>DATE(All_India_Index_Upto_April23__13[[#This Row],[Year]],All_India_Index_Upto_April23__13[[#This Row],[Month Number]],1)</f>
        <v>41699</v>
      </c>
      <c r="E45" s="2" t="str">
        <f>IF(All_India_Index_Upto_April23__13[[#This Row],[Date]]&lt;DATE(2020, 3, 1),"Pre-COVID","Post-COVID")</f>
        <v>Pre-COVID</v>
      </c>
      <c r="F45">
        <v>122.1</v>
      </c>
      <c r="G45">
        <v>121.4</v>
      </c>
      <c r="H45">
        <v>121.5</v>
      </c>
      <c r="I45">
        <v>116.2</v>
      </c>
      <c r="J45">
        <v>102.8</v>
      </c>
      <c r="K45">
        <v>117.7</v>
      </c>
      <c r="L45">
        <v>113.3</v>
      </c>
      <c r="M45">
        <v>108.9</v>
      </c>
      <c r="N45">
        <v>96.3</v>
      </c>
      <c r="O45">
        <v>114.1</v>
      </c>
      <c r="P45">
        <v>112.2</v>
      </c>
      <c r="Q45">
        <v>120.5</v>
      </c>
      <c r="R45">
        <v>116</v>
      </c>
      <c r="S45">
        <v>116.7</v>
      </c>
      <c r="T45">
        <v>115.8</v>
      </c>
      <c r="U45">
        <v>112.1</v>
      </c>
      <c r="V45">
        <v>115.2</v>
      </c>
      <c r="W45" s="3">
        <v>113.2</v>
      </c>
      <c r="X45">
        <v>110.9</v>
      </c>
      <c r="Y45">
        <v>113</v>
      </c>
      <c r="Z45">
        <v>110.8</v>
      </c>
      <c r="AA45">
        <v>111.6</v>
      </c>
      <c r="AB45">
        <v>110.9</v>
      </c>
      <c r="AC45">
        <v>111.8</v>
      </c>
      <c r="AD45">
        <v>109.2</v>
      </c>
      <c r="AE45">
        <v>111.4</v>
      </c>
      <c r="AF45">
        <v>113.7</v>
      </c>
      <c r="AG4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46" spans="1:33" hidden="1" x14ac:dyDescent="0.3">
      <c r="A46" t="s">
        <v>33</v>
      </c>
      <c r="B46">
        <v>2022</v>
      </c>
      <c r="C46" t="s">
        <v>35</v>
      </c>
      <c r="D46" s="10">
        <f>DATE(All_India_Index_Upto_April23__13[[#This Row],[Year]],All_India_Index_Upto_April23__13[[#This Row],[Month Number]],1)</f>
        <v>44621</v>
      </c>
      <c r="E46" s="2" t="str">
        <f>IF(All_India_Index_Upto_April23__13[[#This Row],[Date]]&lt;DATE(2020, 3, 1),"Pre-COVID","Post-COVID")</f>
        <v>Post-COVID</v>
      </c>
      <c r="F46">
        <v>151.30000000000001</v>
      </c>
      <c r="G46">
        <v>210.7</v>
      </c>
      <c r="H46">
        <v>167.8</v>
      </c>
      <c r="I46">
        <v>162.19999999999999</v>
      </c>
      <c r="J46">
        <v>194.6</v>
      </c>
      <c r="K46">
        <v>157.6</v>
      </c>
      <c r="L46">
        <v>166.9</v>
      </c>
      <c r="M46">
        <v>163.9</v>
      </c>
      <c r="N46">
        <v>118.8</v>
      </c>
      <c r="O46">
        <v>177.4</v>
      </c>
      <c r="P46">
        <v>165.3</v>
      </c>
      <c r="Q46">
        <v>179.3</v>
      </c>
      <c r="R46">
        <v>168.4</v>
      </c>
      <c r="S46">
        <v>193.7</v>
      </c>
      <c r="T46">
        <v>172.1</v>
      </c>
      <c r="U46">
        <v>164.6</v>
      </c>
      <c r="V46">
        <v>171.1</v>
      </c>
      <c r="W46" s="3">
        <v>165.3</v>
      </c>
      <c r="X46">
        <v>167.2</v>
      </c>
      <c r="Y46">
        <v>162.80000000000001</v>
      </c>
      <c r="Z46">
        <v>173</v>
      </c>
      <c r="AA46">
        <v>157.9</v>
      </c>
      <c r="AB46">
        <v>163.30000000000001</v>
      </c>
      <c r="AC46">
        <v>166</v>
      </c>
      <c r="AD46">
        <v>167.2</v>
      </c>
      <c r="AE46">
        <v>164.6</v>
      </c>
      <c r="AF46">
        <v>167.7</v>
      </c>
      <c r="AG4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47" spans="1:33" hidden="1" x14ac:dyDescent="0.3">
      <c r="A47" t="s">
        <v>30</v>
      </c>
      <c r="B47">
        <v>2014</v>
      </c>
      <c r="C47" t="s">
        <v>36</v>
      </c>
      <c r="D47" s="10">
        <f>DATE(All_India_Index_Upto_April23__13[[#This Row],[Year]],All_India_Index_Upto_April23__13[[#This Row],[Month Number]],1)</f>
        <v>41730</v>
      </c>
      <c r="E47" s="2" t="str">
        <f>IF(All_India_Index_Upto_April23__13[[#This Row],[Date]]&lt;DATE(2020, 3, 1),"Pre-COVID","Post-COVID")</f>
        <v>Pre-COVID</v>
      </c>
      <c r="F47">
        <v>120.2</v>
      </c>
      <c r="G47">
        <v>118.9</v>
      </c>
      <c r="H47">
        <v>118.1</v>
      </c>
      <c r="I47">
        <v>117</v>
      </c>
      <c r="J47">
        <v>109.7</v>
      </c>
      <c r="K47">
        <v>125.5</v>
      </c>
      <c r="L47">
        <v>120.5</v>
      </c>
      <c r="M47">
        <v>111</v>
      </c>
      <c r="N47">
        <v>102.6</v>
      </c>
      <c r="O47">
        <v>111.2</v>
      </c>
      <c r="P47">
        <v>113.5</v>
      </c>
      <c r="Q47">
        <v>118.7</v>
      </c>
      <c r="R47">
        <v>117.2</v>
      </c>
      <c r="S47">
        <v>115.4</v>
      </c>
      <c r="T47">
        <v>118.1</v>
      </c>
      <c r="U47">
        <v>116.1</v>
      </c>
      <c r="V47">
        <v>117.8</v>
      </c>
      <c r="W47" s="3">
        <v>141</v>
      </c>
      <c r="X47">
        <v>113.4</v>
      </c>
      <c r="Y47">
        <v>113.7</v>
      </c>
      <c r="Z47">
        <v>111.8</v>
      </c>
      <c r="AA47">
        <v>111.2</v>
      </c>
      <c r="AB47">
        <v>110.5</v>
      </c>
      <c r="AC47">
        <v>113</v>
      </c>
      <c r="AD47">
        <v>108.9</v>
      </c>
      <c r="AE47">
        <v>111.5</v>
      </c>
      <c r="AF47">
        <v>115.4</v>
      </c>
      <c r="AG4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48" spans="1:33" hidden="1" x14ac:dyDescent="0.3">
      <c r="A48" t="s">
        <v>32</v>
      </c>
      <c r="B48">
        <v>2014</v>
      </c>
      <c r="C48" t="s">
        <v>36</v>
      </c>
      <c r="D48" s="10">
        <f>DATE(All_India_Index_Upto_April23__13[[#This Row],[Year]],All_India_Index_Upto_April23__13[[#This Row],[Month Number]],1)</f>
        <v>41730</v>
      </c>
      <c r="E48" s="2" t="str">
        <f>IF(All_India_Index_Upto_April23__13[[#This Row],[Date]]&lt;DATE(2020, 3, 1),"Pre-COVID","Post-COVID")</f>
        <v>Pre-COVID</v>
      </c>
      <c r="F48">
        <v>122.5</v>
      </c>
      <c r="G48">
        <v>121.7</v>
      </c>
      <c r="H48">
        <v>113.3</v>
      </c>
      <c r="I48">
        <v>117</v>
      </c>
      <c r="J48">
        <v>103.1</v>
      </c>
      <c r="K48">
        <v>126.7</v>
      </c>
      <c r="L48">
        <v>121.2</v>
      </c>
      <c r="M48">
        <v>111</v>
      </c>
      <c r="N48">
        <v>100.3</v>
      </c>
      <c r="O48">
        <v>115.3</v>
      </c>
      <c r="P48">
        <v>112.7</v>
      </c>
      <c r="Q48">
        <v>121</v>
      </c>
      <c r="R48">
        <v>118.2</v>
      </c>
      <c r="S48">
        <v>117.6</v>
      </c>
      <c r="T48">
        <v>116.3</v>
      </c>
      <c r="U48">
        <v>112.5</v>
      </c>
      <c r="V48">
        <v>115.7</v>
      </c>
      <c r="W48" s="3">
        <v>113.9</v>
      </c>
      <c r="X48">
        <v>110.9</v>
      </c>
      <c r="Y48">
        <v>113.4</v>
      </c>
      <c r="Z48">
        <v>111</v>
      </c>
      <c r="AA48">
        <v>111.2</v>
      </c>
      <c r="AB48">
        <v>111.2</v>
      </c>
      <c r="AC48">
        <v>112.5</v>
      </c>
      <c r="AD48">
        <v>109.1</v>
      </c>
      <c r="AE48">
        <v>111.4</v>
      </c>
      <c r="AF48">
        <v>114.7</v>
      </c>
      <c r="AG4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49" spans="1:33" hidden="1" x14ac:dyDescent="0.3">
      <c r="A49" t="s">
        <v>33</v>
      </c>
      <c r="B49">
        <v>2022</v>
      </c>
      <c r="C49" t="s">
        <v>36</v>
      </c>
      <c r="D49" s="10">
        <f>DATE(All_India_Index_Upto_April23__13[[#This Row],[Year]],All_India_Index_Upto_April23__13[[#This Row],[Month Number]],1)</f>
        <v>44652</v>
      </c>
      <c r="E49" s="2" t="str">
        <f>IF(All_India_Index_Upto_April23__13[[#This Row],[Date]]&lt;DATE(2020, 3, 1),"Pre-COVID","Post-COVID")</f>
        <v>Post-COVID</v>
      </c>
      <c r="F49">
        <v>152.9</v>
      </c>
      <c r="G49">
        <v>211.8</v>
      </c>
      <c r="H49">
        <v>164.5</v>
      </c>
      <c r="I49">
        <v>163.9</v>
      </c>
      <c r="J49">
        <v>199.5</v>
      </c>
      <c r="K49">
        <v>172.6</v>
      </c>
      <c r="L49">
        <v>166.2</v>
      </c>
      <c r="M49">
        <v>164.7</v>
      </c>
      <c r="N49">
        <v>119</v>
      </c>
      <c r="O49">
        <v>181.3</v>
      </c>
      <c r="P49">
        <v>166.2</v>
      </c>
      <c r="Q49">
        <v>180.9</v>
      </c>
      <c r="R49">
        <v>170.8</v>
      </c>
      <c r="S49">
        <v>193.9</v>
      </c>
      <c r="T49">
        <v>173.9</v>
      </c>
      <c r="U49">
        <v>166.5</v>
      </c>
      <c r="V49">
        <v>172.8</v>
      </c>
      <c r="W49" s="3">
        <v>167</v>
      </c>
      <c r="X49">
        <v>172.2</v>
      </c>
      <c r="Y49">
        <v>164</v>
      </c>
      <c r="Z49">
        <v>174</v>
      </c>
      <c r="AA49">
        <v>162.6</v>
      </c>
      <c r="AB49">
        <v>164.4</v>
      </c>
      <c r="AC49">
        <v>166.9</v>
      </c>
      <c r="AD49">
        <v>168.8</v>
      </c>
      <c r="AE49">
        <v>166.8</v>
      </c>
      <c r="AF49">
        <v>170.1</v>
      </c>
      <c r="AG4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50" spans="1:33" hidden="1" x14ac:dyDescent="0.3">
      <c r="A50" t="s">
        <v>30</v>
      </c>
      <c r="B50">
        <v>2014</v>
      </c>
      <c r="C50" t="s">
        <v>37</v>
      </c>
      <c r="D50" s="10">
        <f>DATE(All_India_Index_Upto_April23__13[[#This Row],[Year]],All_India_Index_Upto_April23__13[[#This Row],[Month Number]],1)</f>
        <v>41760</v>
      </c>
      <c r="E50" s="2" t="str">
        <f>IF(All_India_Index_Upto_April23__13[[#This Row],[Date]]&lt;DATE(2020, 3, 1),"Pre-COVID","Post-COVID")</f>
        <v>Pre-COVID</v>
      </c>
      <c r="F50">
        <v>120.3</v>
      </c>
      <c r="G50">
        <v>120.2</v>
      </c>
      <c r="H50">
        <v>116.9</v>
      </c>
      <c r="I50">
        <v>118</v>
      </c>
      <c r="J50">
        <v>110.1</v>
      </c>
      <c r="K50">
        <v>126.3</v>
      </c>
      <c r="L50">
        <v>123.9</v>
      </c>
      <c r="M50">
        <v>111.5</v>
      </c>
      <c r="N50">
        <v>103.5</v>
      </c>
      <c r="O50">
        <v>111.6</v>
      </c>
      <c r="P50">
        <v>114.2</v>
      </c>
      <c r="Q50">
        <v>119.2</v>
      </c>
      <c r="R50">
        <v>118.2</v>
      </c>
      <c r="S50">
        <v>116.3</v>
      </c>
      <c r="T50">
        <v>118.7</v>
      </c>
      <c r="U50">
        <v>116.8</v>
      </c>
      <c r="V50">
        <v>118.5</v>
      </c>
      <c r="W50" s="3">
        <v>141</v>
      </c>
      <c r="X50">
        <v>113.4</v>
      </c>
      <c r="Y50">
        <v>114.1</v>
      </c>
      <c r="Z50">
        <v>112.1</v>
      </c>
      <c r="AA50">
        <v>111.4</v>
      </c>
      <c r="AB50">
        <v>110.9</v>
      </c>
      <c r="AC50">
        <v>113.1</v>
      </c>
      <c r="AD50">
        <v>108.9</v>
      </c>
      <c r="AE50">
        <v>111.8</v>
      </c>
      <c r="AF50">
        <v>116</v>
      </c>
      <c r="AG5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51" spans="1:33" hidden="1" x14ac:dyDescent="0.3">
      <c r="A51" t="s">
        <v>32</v>
      </c>
      <c r="B51">
        <v>2014</v>
      </c>
      <c r="C51" t="s">
        <v>37</v>
      </c>
      <c r="D51" s="10">
        <f>DATE(All_India_Index_Upto_April23__13[[#This Row],[Year]],All_India_Index_Upto_April23__13[[#This Row],[Month Number]],1)</f>
        <v>41760</v>
      </c>
      <c r="E51" s="2" t="str">
        <f>IF(All_India_Index_Upto_April23__13[[#This Row],[Date]]&lt;DATE(2020, 3, 1),"Pre-COVID","Post-COVID")</f>
        <v>Pre-COVID</v>
      </c>
      <c r="F51">
        <v>122.7</v>
      </c>
      <c r="G51">
        <v>124.1</v>
      </c>
      <c r="H51">
        <v>114.2</v>
      </c>
      <c r="I51">
        <v>119.1</v>
      </c>
      <c r="J51">
        <v>103.5</v>
      </c>
      <c r="K51">
        <v>129.19999999999999</v>
      </c>
      <c r="L51">
        <v>127</v>
      </c>
      <c r="M51">
        <v>112.6</v>
      </c>
      <c r="N51">
        <v>101.3</v>
      </c>
      <c r="O51">
        <v>117</v>
      </c>
      <c r="P51">
        <v>112.9</v>
      </c>
      <c r="Q51">
        <v>121.7</v>
      </c>
      <c r="R51">
        <v>120</v>
      </c>
      <c r="S51">
        <v>118.3</v>
      </c>
      <c r="T51">
        <v>116.8</v>
      </c>
      <c r="U51">
        <v>112.9</v>
      </c>
      <c r="V51">
        <v>116.2</v>
      </c>
      <c r="W51" s="3">
        <v>114.3</v>
      </c>
      <c r="X51">
        <v>111.1</v>
      </c>
      <c r="Y51">
        <v>114.1</v>
      </c>
      <c r="Z51">
        <v>111.2</v>
      </c>
      <c r="AA51">
        <v>111.3</v>
      </c>
      <c r="AB51">
        <v>111.5</v>
      </c>
      <c r="AC51">
        <v>112.9</v>
      </c>
      <c r="AD51">
        <v>109.3</v>
      </c>
      <c r="AE51">
        <v>111.7</v>
      </c>
      <c r="AF51">
        <v>115.6</v>
      </c>
      <c r="AG5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52" spans="1:33" hidden="1" x14ac:dyDescent="0.3">
      <c r="A52" t="s">
        <v>33</v>
      </c>
      <c r="B52">
        <v>2022</v>
      </c>
      <c r="C52" t="s">
        <v>37</v>
      </c>
      <c r="D52" s="10">
        <f>DATE(All_India_Index_Upto_April23__13[[#This Row],[Year]],All_India_Index_Upto_April23__13[[#This Row],[Month Number]],1)</f>
        <v>44682</v>
      </c>
      <c r="E52" s="2" t="str">
        <f>IF(All_India_Index_Upto_April23__13[[#This Row],[Date]]&lt;DATE(2020, 3, 1),"Pre-COVID","Post-COVID")</f>
        <v>Post-COVID</v>
      </c>
      <c r="F52">
        <v>154.1</v>
      </c>
      <c r="G52">
        <v>217</v>
      </c>
      <c r="H52">
        <v>162.4</v>
      </c>
      <c r="I52">
        <v>164.9</v>
      </c>
      <c r="J52">
        <v>202.4</v>
      </c>
      <c r="K52">
        <v>171</v>
      </c>
      <c r="L52">
        <v>174.9</v>
      </c>
      <c r="M52">
        <v>164.7</v>
      </c>
      <c r="N52">
        <v>119.7</v>
      </c>
      <c r="O52">
        <v>184.9</v>
      </c>
      <c r="P52">
        <v>167.1</v>
      </c>
      <c r="Q52">
        <v>182.5</v>
      </c>
      <c r="R52">
        <v>173.3</v>
      </c>
      <c r="S52">
        <v>194.1</v>
      </c>
      <c r="T52">
        <v>175.6</v>
      </c>
      <c r="U52">
        <v>168.4</v>
      </c>
      <c r="V52">
        <v>174.6</v>
      </c>
      <c r="W52" s="3">
        <v>167.5</v>
      </c>
      <c r="X52">
        <v>174.6</v>
      </c>
      <c r="Y52">
        <v>165.2</v>
      </c>
      <c r="Z52">
        <v>174.8</v>
      </c>
      <c r="AA52">
        <v>163</v>
      </c>
      <c r="AB52">
        <v>165.1</v>
      </c>
      <c r="AC52">
        <v>167.9</v>
      </c>
      <c r="AD52">
        <v>168.4</v>
      </c>
      <c r="AE52">
        <v>167.5</v>
      </c>
      <c r="AF52">
        <v>171.7</v>
      </c>
      <c r="AG5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53" spans="1:33" hidden="1" x14ac:dyDescent="0.3">
      <c r="A53" t="s">
        <v>30</v>
      </c>
      <c r="B53">
        <v>2014</v>
      </c>
      <c r="C53" t="s">
        <v>38</v>
      </c>
      <c r="D53" s="10">
        <f>DATE(All_India_Index_Upto_April23__13[[#This Row],[Year]],All_India_Index_Upto_April23__13[[#This Row],[Month Number]],1)</f>
        <v>41791</v>
      </c>
      <c r="E53" s="2" t="str">
        <f>IF(All_India_Index_Upto_April23__13[[#This Row],[Date]]&lt;DATE(2020, 3, 1),"Pre-COVID","Post-COVID")</f>
        <v>Pre-COVID</v>
      </c>
      <c r="F53">
        <v>120.7</v>
      </c>
      <c r="G53">
        <v>121.6</v>
      </c>
      <c r="H53">
        <v>116.1</v>
      </c>
      <c r="I53">
        <v>119.3</v>
      </c>
      <c r="J53">
        <v>110.3</v>
      </c>
      <c r="K53">
        <v>125.8</v>
      </c>
      <c r="L53">
        <v>129.30000000000001</v>
      </c>
      <c r="M53">
        <v>112.2</v>
      </c>
      <c r="N53">
        <v>103.6</v>
      </c>
      <c r="O53">
        <v>112.3</v>
      </c>
      <c r="P53">
        <v>114.9</v>
      </c>
      <c r="Q53">
        <v>120.1</v>
      </c>
      <c r="R53">
        <v>119.5</v>
      </c>
      <c r="S53">
        <v>117.3</v>
      </c>
      <c r="T53">
        <v>119.7</v>
      </c>
      <c r="U53">
        <v>117.3</v>
      </c>
      <c r="V53">
        <v>119.3</v>
      </c>
      <c r="W53" s="3">
        <v>141</v>
      </c>
      <c r="X53">
        <v>114.4</v>
      </c>
      <c r="Y53">
        <v>114.9</v>
      </c>
      <c r="Z53">
        <v>112.8</v>
      </c>
      <c r="AA53">
        <v>112.2</v>
      </c>
      <c r="AB53">
        <v>111.4</v>
      </c>
      <c r="AC53">
        <v>114.3</v>
      </c>
      <c r="AD53">
        <v>108</v>
      </c>
      <c r="AE53">
        <v>112.3</v>
      </c>
      <c r="AF53">
        <v>117</v>
      </c>
      <c r="AG5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54" spans="1:33" hidden="1" x14ac:dyDescent="0.3">
      <c r="A54" t="s">
        <v>32</v>
      </c>
      <c r="B54">
        <v>2014</v>
      </c>
      <c r="C54" t="s">
        <v>38</v>
      </c>
      <c r="D54" s="10">
        <f>DATE(All_India_Index_Upto_April23__13[[#This Row],[Year]],All_India_Index_Upto_April23__13[[#This Row],[Month Number]],1)</f>
        <v>41791</v>
      </c>
      <c r="E54" s="2" t="str">
        <f>IF(All_India_Index_Upto_April23__13[[#This Row],[Date]]&lt;DATE(2020, 3, 1),"Pre-COVID","Post-COVID")</f>
        <v>Pre-COVID</v>
      </c>
      <c r="F54">
        <v>123.1</v>
      </c>
      <c r="G54">
        <v>125.9</v>
      </c>
      <c r="H54">
        <v>115.4</v>
      </c>
      <c r="I54">
        <v>120.4</v>
      </c>
      <c r="J54">
        <v>103.4</v>
      </c>
      <c r="K54">
        <v>131.19999999999999</v>
      </c>
      <c r="L54">
        <v>137.5</v>
      </c>
      <c r="M54">
        <v>112.8</v>
      </c>
      <c r="N54">
        <v>101.4</v>
      </c>
      <c r="O54">
        <v>118.3</v>
      </c>
      <c r="P54">
        <v>113.2</v>
      </c>
      <c r="Q54">
        <v>122.4</v>
      </c>
      <c r="R54">
        <v>122</v>
      </c>
      <c r="S54">
        <v>119</v>
      </c>
      <c r="T54">
        <v>117.4</v>
      </c>
      <c r="U54">
        <v>113.2</v>
      </c>
      <c r="V54">
        <v>116.7</v>
      </c>
      <c r="W54" s="3">
        <v>113.9</v>
      </c>
      <c r="X54">
        <v>111.2</v>
      </c>
      <c r="Y54">
        <v>114.3</v>
      </c>
      <c r="Z54">
        <v>111.4</v>
      </c>
      <c r="AA54">
        <v>111.5</v>
      </c>
      <c r="AB54">
        <v>111.8</v>
      </c>
      <c r="AC54">
        <v>115.1</v>
      </c>
      <c r="AD54">
        <v>108.7</v>
      </c>
      <c r="AE54">
        <v>112.2</v>
      </c>
      <c r="AF54">
        <v>116.4</v>
      </c>
      <c r="AG5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55" spans="1:33" hidden="1" x14ac:dyDescent="0.3">
      <c r="A55" t="s">
        <v>33</v>
      </c>
      <c r="B55">
        <v>2022</v>
      </c>
      <c r="C55" t="s">
        <v>38</v>
      </c>
      <c r="D55" s="10">
        <f>DATE(All_India_Index_Upto_April23__13[[#This Row],[Year]],All_India_Index_Upto_April23__13[[#This Row],[Month Number]],1)</f>
        <v>44713</v>
      </c>
      <c r="E55" s="2" t="str">
        <f>IF(All_India_Index_Upto_April23__13[[#This Row],[Date]]&lt;DATE(2020, 3, 1),"Pre-COVID","Post-COVID")</f>
        <v>Post-COVID</v>
      </c>
      <c r="F55">
        <v>155</v>
      </c>
      <c r="G55">
        <v>219.4</v>
      </c>
      <c r="H55">
        <v>170.8</v>
      </c>
      <c r="I55">
        <v>165.8</v>
      </c>
      <c r="J55">
        <v>200.9</v>
      </c>
      <c r="K55">
        <v>169.7</v>
      </c>
      <c r="L55">
        <v>182.3</v>
      </c>
      <c r="M55">
        <v>164.3</v>
      </c>
      <c r="N55">
        <v>119.9</v>
      </c>
      <c r="O55">
        <v>187.1</v>
      </c>
      <c r="P55">
        <v>167.9</v>
      </c>
      <c r="Q55">
        <v>183.9</v>
      </c>
      <c r="R55">
        <v>174.9</v>
      </c>
      <c r="S55">
        <v>194.3</v>
      </c>
      <c r="T55">
        <v>177.1</v>
      </c>
      <c r="U55">
        <v>169.9</v>
      </c>
      <c r="V55">
        <v>176</v>
      </c>
      <c r="W55" s="3">
        <v>166.8</v>
      </c>
      <c r="X55">
        <v>176</v>
      </c>
      <c r="Y55">
        <v>166.4</v>
      </c>
      <c r="Z55">
        <v>175.4</v>
      </c>
      <c r="AA55">
        <v>161.1</v>
      </c>
      <c r="AB55">
        <v>165.8</v>
      </c>
      <c r="AC55">
        <v>169</v>
      </c>
      <c r="AD55">
        <v>169.4</v>
      </c>
      <c r="AE55">
        <v>167.5</v>
      </c>
      <c r="AF55">
        <v>172.6</v>
      </c>
      <c r="AG5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56" spans="1:33" hidden="1" x14ac:dyDescent="0.3">
      <c r="A56" t="s">
        <v>30</v>
      </c>
      <c r="B56">
        <v>2014</v>
      </c>
      <c r="C56" t="s">
        <v>39</v>
      </c>
      <c r="D56" s="10">
        <f>DATE(All_India_Index_Upto_April23__13[[#This Row],[Year]],All_India_Index_Upto_April23__13[[#This Row],[Month Number]],1)</f>
        <v>41821</v>
      </c>
      <c r="E56" s="2" t="str">
        <f>IF(All_India_Index_Upto_April23__13[[#This Row],[Date]]&lt;DATE(2020, 3, 1),"Pre-COVID","Post-COVID")</f>
        <v>Pre-COVID</v>
      </c>
      <c r="F56">
        <v>121.7</v>
      </c>
      <c r="G56">
        <v>122.5</v>
      </c>
      <c r="H56">
        <v>117.7</v>
      </c>
      <c r="I56">
        <v>120.6</v>
      </c>
      <c r="J56">
        <v>110.4</v>
      </c>
      <c r="K56">
        <v>129.1</v>
      </c>
      <c r="L56">
        <v>150.1</v>
      </c>
      <c r="M56">
        <v>113.2</v>
      </c>
      <c r="N56">
        <v>104.8</v>
      </c>
      <c r="O56">
        <v>113.3</v>
      </c>
      <c r="P56">
        <v>115.6</v>
      </c>
      <c r="Q56">
        <v>120.9</v>
      </c>
      <c r="R56">
        <v>123.3</v>
      </c>
      <c r="S56">
        <v>118</v>
      </c>
      <c r="T56">
        <v>120.7</v>
      </c>
      <c r="U56">
        <v>118.3</v>
      </c>
      <c r="V56">
        <v>120.3</v>
      </c>
      <c r="W56" s="3">
        <v>141</v>
      </c>
      <c r="X56">
        <v>115.3</v>
      </c>
      <c r="Y56">
        <v>115.4</v>
      </c>
      <c r="Z56">
        <v>113.4</v>
      </c>
      <c r="AA56">
        <v>113.2</v>
      </c>
      <c r="AB56">
        <v>111.8</v>
      </c>
      <c r="AC56">
        <v>115.5</v>
      </c>
      <c r="AD56">
        <v>108.8</v>
      </c>
      <c r="AE56">
        <v>113.1</v>
      </c>
      <c r="AF56">
        <v>119.5</v>
      </c>
      <c r="AG5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57" spans="1:33" hidden="1" x14ac:dyDescent="0.3">
      <c r="A57" t="s">
        <v>32</v>
      </c>
      <c r="B57">
        <v>2014</v>
      </c>
      <c r="C57" t="s">
        <v>39</v>
      </c>
      <c r="D57" s="10">
        <f>DATE(All_India_Index_Upto_April23__13[[#This Row],[Year]],All_India_Index_Upto_April23__13[[#This Row],[Month Number]],1)</f>
        <v>41821</v>
      </c>
      <c r="E57" s="2" t="str">
        <f>IF(All_India_Index_Upto_April23__13[[#This Row],[Date]]&lt;DATE(2020, 3, 1),"Pre-COVID","Post-COVID")</f>
        <v>Pre-COVID</v>
      </c>
      <c r="F57">
        <v>123.8</v>
      </c>
      <c r="G57">
        <v>126.4</v>
      </c>
      <c r="H57">
        <v>118</v>
      </c>
      <c r="I57">
        <v>121.6</v>
      </c>
      <c r="J57">
        <v>103.5</v>
      </c>
      <c r="K57">
        <v>133.69999999999999</v>
      </c>
      <c r="L57">
        <v>172.4</v>
      </c>
      <c r="M57">
        <v>113.1</v>
      </c>
      <c r="N57">
        <v>102.7</v>
      </c>
      <c r="O57">
        <v>120</v>
      </c>
      <c r="P57">
        <v>113.8</v>
      </c>
      <c r="Q57">
        <v>123.4</v>
      </c>
      <c r="R57">
        <v>127.1</v>
      </c>
      <c r="S57">
        <v>121</v>
      </c>
      <c r="T57">
        <v>118</v>
      </c>
      <c r="U57">
        <v>113.6</v>
      </c>
      <c r="V57">
        <v>117.4</v>
      </c>
      <c r="W57" s="3">
        <v>114.8</v>
      </c>
      <c r="X57">
        <v>111.6</v>
      </c>
      <c r="Y57">
        <v>114.9</v>
      </c>
      <c r="Z57">
        <v>111.5</v>
      </c>
      <c r="AA57">
        <v>113</v>
      </c>
      <c r="AB57">
        <v>112.4</v>
      </c>
      <c r="AC57">
        <v>117.8</v>
      </c>
      <c r="AD57">
        <v>109.7</v>
      </c>
      <c r="AE57">
        <v>113.5</v>
      </c>
      <c r="AF57">
        <v>118.9</v>
      </c>
      <c r="AG5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58" spans="1:33" hidden="1" x14ac:dyDescent="0.3">
      <c r="A58" t="s">
        <v>33</v>
      </c>
      <c r="B58">
        <v>2022</v>
      </c>
      <c r="C58" t="s">
        <v>39</v>
      </c>
      <c r="D58" s="10">
        <f>DATE(All_India_Index_Upto_April23__13[[#This Row],[Year]],All_India_Index_Upto_April23__13[[#This Row],[Month Number]],1)</f>
        <v>44743</v>
      </c>
      <c r="E58" s="2" t="str">
        <f>IF(All_India_Index_Upto_April23__13[[#This Row],[Date]]&lt;DATE(2020, 3, 1),"Pre-COVID","Post-COVID")</f>
        <v>Post-COVID</v>
      </c>
      <c r="F58">
        <v>156.5</v>
      </c>
      <c r="G58">
        <v>213</v>
      </c>
      <c r="H58">
        <v>175.2</v>
      </c>
      <c r="I58">
        <v>166.6</v>
      </c>
      <c r="J58">
        <v>195.8</v>
      </c>
      <c r="K58">
        <v>174.2</v>
      </c>
      <c r="L58">
        <v>182.1</v>
      </c>
      <c r="M58">
        <v>164.3</v>
      </c>
      <c r="N58">
        <v>120</v>
      </c>
      <c r="O58">
        <v>190</v>
      </c>
      <c r="P58">
        <v>168.4</v>
      </c>
      <c r="Q58">
        <v>185.2</v>
      </c>
      <c r="R58">
        <v>175</v>
      </c>
      <c r="S58">
        <v>194.6</v>
      </c>
      <c r="T58">
        <v>178.3</v>
      </c>
      <c r="U58">
        <v>171.3</v>
      </c>
      <c r="V58">
        <v>177.3</v>
      </c>
      <c r="W58" s="3">
        <v>167.8</v>
      </c>
      <c r="X58">
        <v>179.6</v>
      </c>
      <c r="Y58">
        <v>167.4</v>
      </c>
      <c r="Z58">
        <v>176.1</v>
      </c>
      <c r="AA58">
        <v>161.6</v>
      </c>
      <c r="AB58">
        <v>166.3</v>
      </c>
      <c r="AC58">
        <v>171.4</v>
      </c>
      <c r="AD58">
        <v>169.7</v>
      </c>
      <c r="AE58">
        <v>168.4</v>
      </c>
      <c r="AF58">
        <v>173.4</v>
      </c>
      <c r="AG5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59" spans="1:33" hidden="1" x14ac:dyDescent="0.3">
      <c r="A59" t="s">
        <v>30</v>
      </c>
      <c r="B59">
        <v>2014</v>
      </c>
      <c r="C59" t="s">
        <v>40</v>
      </c>
      <c r="D59" s="10">
        <f>DATE(All_India_Index_Upto_April23__13[[#This Row],[Year]],All_India_Index_Upto_April23__13[[#This Row],[Month Number]],1)</f>
        <v>41852</v>
      </c>
      <c r="E59" s="2" t="str">
        <f>IF(All_India_Index_Upto_April23__13[[#This Row],[Date]]&lt;DATE(2020, 3, 1),"Pre-COVID","Post-COVID")</f>
        <v>Pre-COVID</v>
      </c>
      <c r="F59">
        <v>121.8</v>
      </c>
      <c r="G59">
        <v>122.8</v>
      </c>
      <c r="H59">
        <v>117.8</v>
      </c>
      <c r="I59">
        <v>121.9</v>
      </c>
      <c r="J59">
        <v>110.6</v>
      </c>
      <c r="K59">
        <v>129.69999999999999</v>
      </c>
      <c r="L59">
        <v>161.1</v>
      </c>
      <c r="M59">
        <v>114.1</v>
      </c>
      <c r="N59">
        <v>105.1</v>
      </c>
      <c r="O59">
        <v>114.6</v>
      </c>
      <c r="P59">
        <v>115.8</v>
      </c>
      <c r="Q59">
        <v>121.7</v>
      </c>
      <c r="R59">
        <v>125.3</v>
      </c>
      <c r="S59">
        <v>118.8</v>
      </c>
      <c r="T59">
        <v>120.9</v>
      </c>
      <c r="U59">
        <v>118.8</v>
      </c>
      <c r="V59">
        <v>120.7</v>
      </c>
      <c r="W59" s="3">
        <v>141</v>
      </c>
      <c r="X59">
        <v>115.4</v>
      </c>
      <c r="Y59">
        <v>115.9</v>
      </c>
      <c r="Z59">
        <v>114</v>
      </c>
      <c r="AA59">
        <v>113.2</v>
      </c>
      <c r="AB59">
        <v>112.2</v>
      </c>
      <c r="AC59">
        <v>116.2</v>
      </c>
      <c r="AD59">
        <v>109.4</v>
      </c>
      <c r="AE59">
        <v>113.5</v>
      </c>
      <c r="AF59">
        <v>120.7</v>
      </c>
      <c r="AG5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60" spans="1:33" hidden="1" x14ac:dyDescent="0.3">
      <c r="A60" t="s">
        <v>32</v>
      </c>
      <c r="B60">
        <v>2014</v>
      </c>
      <c r="C60" t="s">
        <v>40</v>
      </c>
      <c r="D60" s="10">
        <f>DATE(All_India_Index_Upto_April23__13[[#This Row],[Year]],All_India_Index_Upto_April23__13[[#This Row],[Month Number]],1)</f>
        <v>41852</v>
      </c>
      <c r="E60" s="2" t="str">
        <f>IF(All_India_Index_Upto_April23__13[[#This Row],[Date]]&lt;DATE(2020, 3, 1),"Pre-COVID","Post-COVID")</f>
        <v>Pre-COVID</v>
      </c>
      <c r="F60">
        <v>124.8</v>
      </c>
      <c r="G60">
        <v>127.3</v>
      </c>
      <c r="H60">
        <v>116.5</v>
      </c>
      <c r="I60">
        <v>122.2</v>
      </c>
      <c r="J60">
        <v>103.6</v>
      </c>
      <c r="K60">
        <v>132.69999999999999</v>
      </c>
      <c r="L60">
        <v>181.9</v>
      </c>
      <c r="M60">
        <v>115.2</v>
      </c>
      <c r="N60">
        <v>102.7</v>
      </c>
      <c r="O60">
        <v>122.1</v>
      </c>
      <c r="P60">
        <v>114.4</v>
      </c>
      <c r="Q60">
        <v>124.7</v>
      </c>
      <c r="R60">
        <v>128.9</v>
      </c>
      <c r="S60">
        <v>123</v>
      </c>
      <c r="T60">
        <v>118.6</v>
      </c>
      <c r="U60">
        <v>114.1</v>
      </c>
      <c r="V60">
        <v>117.9</v>
      </c>
      <c r="W60" s="3">
        <v>115.5</v>
      </c>
      <c r="X60">
        <v>111.8</v>
      </c>
      <c r="Y60">
        <v>115.3</v>
      </c>
      <c r="Z60">
        <v>112.2</v>
      </c>
      <c r="AA60">
        <v>112.5</v>
      </c>
      <c r="AB60">
        <v>112.9</v>
      </c>
      <c r="AC60">
        <v>119.2</v>
      </c>
      <c r="AD60">
        <v>110.5</v>
      </c>
      <c r="AE60">
        <v>113.9</v>
      </c>
      <c r="AF60">
        <v>119.9</v>
      </c>
      <c r="AG6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61" spans="1:33" hidden="1" x14ac:dyDescent="0.3">
      <c r="A61" t="s">
        <v>33</v>
      </c>
      <c r="B61">
        <v>2022</v>
      </c>
      <c r="C61" t="s">
        <v>40</v>
      </c>
      <c r="D61" s="10">
        <f>DATE(All_India_Index_Upto_April23__13[[#This Row],[Year]],All_India_Index_Upto_April23__13[[#This Row],[Month Number]],1)</f>
        <v>44774</v>
      </c>
      <c r="E61" s="2" t="str">
        <f>IF(All_India_Index_Upto_April23__13[[#This Row],[Date]]&lt;DATE(2020, 3, 1),"Pre-COVID","Post-COVID")</f>
        <v>Post-COVID</v>
      </c>
      <c r="F61">
        <v>160.30000000000001</v>
      </c>
      <c r="G61">
        <v>206.5</v>
      </c>
      <c r="H61">
        <v>169.2</v>
      </c>
      <c r="I61">
        <v>168.1</v>
      </c>
      <c r="J61">
        <v>192.4</v>
      </c>
      <c r="K61">
        <v>172.9</v>
      </c>
      <c r="L61">
        <v>186.7</v>
      </c>
      <c r="M61">
        <v>167.2</v>
      </c>
      <c r="N61">
        <v>120.9</v>
      </c>
      <c r="O61">
        <v>193.6</v>
      </c>
      <c r="P61">
        <v>168.8</v>
      </c>
      <c r="Q61">
        <v>186.3</v>
      </c>
      <c r="R61">
        <v>176.3</v>
      </c>
      <c r="S61">
        <v>195</v>
      </c>
      <c r="T61">
        <v>179.5</v>
      </c>
      <c r="U61">
        <v>172.7</v>
      </c>
      <c r="V61">
        <v>178.5</v>
      </c>
      <c r="W61" s="3">
        <v>169</v>
      </c>
      <c r="X61">
        <v>178.8</v>
      </c>
      <c r="Y61">
        <v>168.5</v>
      </c>
      <c r="Z61">
        <v>176.8</v>
      </c>
      <c r="AA61">
        <v>161.9</v>
      </c>
      <c r="AB61">
        <v>166.9</v>
      </c>
      <c r="AC61">
        <v>172.3</v>
      </c>
      <c r="AD61">
        <v>171.2</v>
      </c>
      <c r="AE61">
        <v>169.1</v>
      </c>
      <c r="AF61">
        <v>174.3</v>
      </c>
      <c r="AG6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62" spans="1:33" hidden="1" x14ac:dyDescent="0.3">
      <c r="A62" t="s">
        <v>30</v>
      </c>
      <c r="B62">
        <v>2014</v>
      </c>
      <c r="C62" t="s">
        <v>41</v>
      </c>
      <c r="D62" s="10">
        <f>DATE(All_India_Index_Upto_April23__13[[#This Row],[Year]],All_India_Index_Upto_April23__13[[#This Row],[Month Number]],1)</f>
        <v>41883</v>
      </c>
      <c r="E62" s="2" t="str">
        <f>IF(All_India_Index_Upto_April23__13[[#This Row],[Date]]&lt;DATE(2020, 3, 1),"Pre-COVID","Post-COVID")</f>
        <v>Pre-COVID</v>
      </c>
      <c r="F62">
        <v>122.3</v>
      </c>
      <c r="G62">
        <v>122.4</v>
      </c>
      <c r="H62">
        <v>117.8</v>
      </c>
      <c r="I62">
        <v>122.7</v>
      </c>
      <c r="J62">
        <v>110.4</v>
      </c>
      <c r="K62">
        <v>129.80000000000001</v>
      </c>
      <c r="L62">
        <v>158.80000000000001</v>
      </c>
      <c r="M62">
        <v>115</v>
      </c>
      <c r="N62">
        <v>104.7</v>
      </c>
      <c r="O62">
        <v>114.9</v>
      </c>
      <c r="P62">
        <v>116.5</v>
      </c>
      <c r="Q62">
        <v>122.6</v>
      </c>
      <c r="R62">
        <v>125.3</v>
      </c>
      <c r="S62">
        <v>119.5</v>
      </c>
      <c r="T62">
        <v>121.7</v>
      </c>
      <c r="U62">
        <v>119.2</v>
      </c>
      <c r="V62">
        <v>121.3</v>
      </c>
      <c r="W62" s="3">
        <v>141</v>
      </c>
      <c r="X62">
        <v>115.8</v>
      </c>
      <c r="Y62">
        <v>116.7</v>
      </c>
      <c r="Z62">
        <v>114.5</v>
      </c>
      <c r="AA62">
        <v>112.8</v>
      </c>
      <c r="AB62">
        <v>112.6</v>
      </c>
      <c r="AC62">
        <v>116.6</v>
      </c>
      <c r="AD62">
        <v>109.1</v>
      </c>
      <c r="AE62">
        <v>113.7</v>
      </c>
      <c r="AF62">
        <v>120.9</v>
      </c>
      <c r="AG6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63" spans="1:33" hidden="1" x14ac:dyDescent="0.3">
      <c r="A63" t="s">
        <v>32</v>
      </c>
      <c r="B63">
        <v>2014</v>
      </c>
      <c r="C63" t="s">
        <v>41</v>
      </c>
      <c r="D63" s="10">
        <f>DATE(All_India_Index_Upto_April23__13[[#This Row],[Year]],All_India_Index_Upto_April23__13[[#This Row],[Month Number]],1)</f>
        <v>41883</v>
      </c>
      <c r="E63" s="2" t="str">
        <f>IF(All_India_Index_Upto_April23__13[[#This Row],[Date]]&lt;DATE(2020, 3, 1),"Pre-COVID","Post-COVID")</f>
        <v>Pre-COVID</v>
      </c>
      <c r="F63">
        <v>124.2</v>
      </c>
      <c r="G63">
        <v>125.4</v>
      </c>
      <c r="H63">
        <v>116.4</v>
      </c>
      <c r="I63">
        <v>122.7</v>
      </c>
      <c r="J63">
        <v>103.5</v>
      </c>
      <c r="K63">
        <v>124.5</v>
      </c>
      <c r="L63">
        <v>168.6</v>
      </c>
      <c r="M63">
        <v>116.9</v>
      </c>
      <c r="N63">
        <v>101.9</v>
      </c>
      <c r="O63">
        <v>122.9</v>
      </c>
      <c r="P63">
        <v>114.8</v>
      </c>
      <c r="Q63">
        <v>125.2</v>
      </c>
      <c r="R63">
        <v>126.7</v>
      </c>
      <c r="S63">
        <v>124.3</v>
      </c>
      <c r="T63">
        <v>119.2</v>
      </c>
      <c r="U63">
        <v>114.5</v>
      </c>
      <c r="V63">
        <v>118.4</v>
      </c>
      <c r="W63" s="3">
        <v>116.1</v>
      </c>
      <c r="X63">
        <v>111.8</v>
      </c>
      <c r="Y63">
        <v>115.5</v>
      </c>
      <c r="Z63">
        <v>112.3</v>
      </c>
      <c r="AA63">
        <v>111.2</v>
      </c>
      <c r="AB63">
        <v>113.4</v>
      </c>
      <c r="AC63">
        <v>120</v>
      </c>
      <c r="AD63">
        <v>110</v>
      </c>
      <c r="AE63">
        <v>113.6</v>
      </c>
      <c r="AF63">
        <v>119.2</v>
      </c>
      <c r="AG6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64" spans="1:33" hidden="1" x14ac:dyDescent="0.3">
      <c r="A64" t="s">
        <v>33</v>
      </c>
      <c r="B64">
        <v>2022</v>
      </c>
      <c r="C64" t="s">
        <v>41</v>
      </c>
      <c r="D64" s="10">
        <f>DATE(All_India_Index_Upto_April23__13[[#This Row],[Year]],All_India_Index_Upto_April23__13[[#This Row],[Month Number]],1)</f>
        <v>44805</v>
      </c>
      <c r="E64" s="2" t="str">
        <f>IF(All_India_Index_Upto_April23__13[[#This Row],[Date]]&lt;DATE(2020, 3, 1),"Pre-COVID","Post-COVID")</f>
        <v>Post-COVID</v>
      </c>
      <c r="F64">
        <v>163.5</v>
      </c>
      <c r="G64">
        <v>209.2</v>
      </c>
      <c r="H64">
        <v>169.7</v>
      </c>
      <c r="I64">
        <v>169.7</v>
      </c>
      <c r="J64">
        <v>188.7</v>
      </c>
      <c r="K64">
        <v>165.7</v>
      </c>
      <c r="L64">
        <v>191.8</v>
      </c>
      <c r="M64">
        <v>169.1</v>
      </c>
      <c r="N64">
        <v>121.6</v>
      </c>
      <c r="O64">
        <v>197.3</v>
      </c>
      <c r="P64">
        <v>169.4</v>
      </c>
      <c r="Q64">
        <v>187.4</v>
      </c>
      <c r="R64">
        <v>177.8</v>
      </c>
      <c r="S64">
        <v>195.9</v>
      </c>
      <c r="T64">
        <v>180.9</v>
      </c>
      <c r="U64">
        <v>174.3</v>
      </c>
      <c r="V64">
        <v>179.9</v>
      </c>
      <c r="W64" s="3">
        <v>169.5</v>
      </c>
      <c r="X64">
        <v>179.5</v>
      </c>
      <c r="Y64">
        <v>169.5</v>
      </c>
      <c r="Z64">
        <v>177.8</v>
      </c>
      <c r="AA64">
        <v>162.30000000000001</v>
      </c>
      <c r="AB64">
        <v>167.6</v>
      </c>
      <c r="AC64">
        <v>173.1</v>
      </c>
      <c r="AD64">
        <v>170.9</v>
      </c>
      <c r="AE64">
        <v>169.7</v>
      </c>
      <c r="AF64">
        <v>175.3</v>
      </c>
      <c r="AG6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65" spans="1:33" hidden="1" x14ac:dyDescent="0.3">
      <c r="A65" t="s">
        <v>30</v>
      </c>
      <c r="B65">
        <v>2014</v>
      </c>
      <c r="C65" t="s">
        <v>42</v>
      </c>
      <c r="D65" s="10">
        <f>DATE(All_India_Index_Upto_April23__13[[#This Row],[Year]],All_India_Index_Upto_April23__13[[#This Row],[Month Number]],1)</f>
        <v>41913</v>
      </c>
      <c r="E65" s="2" t="str">
        <f>IF(All_India_Index_Upto_April23__13[[#This Row],[Date]]&lt;DATE(2020, 3, 1),"Pre-COVID","Post-COVID")</f>
        <v>Pre-COVID</v>
      </c>
      <c r="F65">
        <v>122.6</v>
      </c>
      <c r="G65">
        <v>122.5</v>
      </c>
      <c r="H65">
        <v>118.3</v>
      </c>
      <c r="I65">
        <v>123.2</v>
      </c>
      <c r="J65">
        <v>110.5</v>
      </c>
      <c r="K65">
        <v>128.9</v>
      </c>
      <c r="L65">
        <v>155.30000000000001</v>
      </c>
      <c r="M65">
        <v>115.5</v>
      </c>
      <c r="N65">
        <v>104</v>
      </c>
      <c r="O65">
        <v>115.3</v>
      </c>
      <c r="P65">
        <v>116.8</v>
      </c>
      <c r="Q65">
        <v>123.2</v>
      </c>
      <c r="R65">
        <v>125.1</v>
      </c>
      <c r="S65">
        <v>120</v>
      </c>
      <c r="T65">
        <v>122.7</v>
      </c>
      <c r="U65">
        <v>120.3</v>
      </c>
      <c r="V65">
        <v>122.3</v>
      </c>
      <c r="W65" s="3">
        <v>141</v>
      </c>
      <c r="X65">
        <v>116.4</v>
      </c>
      <c r="Y65">
        <v>117.5</v>
      </c>
      <c r="Z65">
        <v>115.3</v>
      </c>
      <c r="AA65">
        <v>112.6</v>
      </c>
      <c r="AB65">
        <v>113</v>
      </c>
      <c r="AC65">
        <v>116.9</v>
      </c>
      <c r="AD65">
        <v>109.3</v>
      </c>
      <c r="AE65">
        <v>114</v>
      </c>
      <c r="AF65">
        <v>121</v>
      </c>
      <c r="AG6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66" spans="1:33" hidden="1" x14ac:dyDescent="0.3">
      <c r="A66" t="s">
        <v>32</v>
      </c>
      <c r="B66">
        <v>2014</v>
      </c>
      <c r="C66" t="s">
        <v>42</v>
      </c>
      <c r="D66" s="10">
        <f>DATE(All_India_Index_Upto_April23__13[[#This Row],[Year]],All_India_Index_Upto_April23__13[[#This Row],[Month Number]],1)</f>
        <v>41913</v>
      </c>
      <c r="E66" s="2" t="str">
        <f>IF(All_India_Index_Upto_April23__13[[#This Row],[Date]]&lt;DATE(2020, 3, 1),"Pre-COVID","Post-COVID")</f>
        <v>Pre-COVID</v>
      </c>
      <c r="F66">
        <v>124.6</v>
      </c>
      <c r="G66">
        <v>126.1</v>
      </c>
      <c r="H66">
        <v>117.8</v>
      </c>
      <c r="I66">
        <v>123.1</v>
      </c>
      <c r="J66">
        <v>103.5</v>
      </c>
      <c r="K66">
        <v>123.5</v>
      </c>
      <c r="L66">
        <v>159.6</v>
      </c>
      <c r="M66">
        <v>117.4</v>
      </c>
      <c r="N66">
        <v>101.2</v>
      </c>
      <c r="O66">
        <v>123.8</v>
      </c>
      <c r="P66">
        <v>115.2</v>
      </c>
      <c r="Q66">
        <v>125.9</v>
      </c>
      <c r="R66">
        <v>125.8</v>
      </c>
      <c r="S66">
        <v>124.3</v>
      </c>
      <c r="T66">
        <v>119.6</v>
      </c>
      <c r="U66">
        <v>114.9</v>
      </c>
      <c r="V66">
        <v>118.9</v>
      </c>
      <c r="W66" s="3">
        <v>116.7</v>
      </c>
      <c r="X66">
        <v>112</v>
      </c>
      <c r="Y66">
        <v>115.8</v>
      </c>
      <c r="Z66">
        <v>112.6</v>
      </c>
      <c r="AA66">
        <v>111</v>
      </c>
      <c r="AB66">
        <v>113.6</v>
      </c>
      <c r="AC66">
        <v>120.2</v>
      </c>
      <c r="AD66">
        <v>110.1</v>
      </c>
      <c r="AE66">
        <v>113.7</v>
      </c>
      <c r="AF66">
        <v>119.1</v>
      </c>
      <c r="AG6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67" spans="1:33" hidden="1" x14ac:dyDescent="0.3">
      <c r="A67" t="s">
        <v>33</v>
      </c>
      <c r="B67">
        <v>2022</v>
      </c>
      <c r="C67" t="s">
        <v>42</v>
      </c>
      <c r="D67" s="10">
        <f>DATE(All_India_Index_Upto_April23__13[[#This Row],[Year]],All_India_Index_Upto_April23__13[[#This Row],[Month Number]],1)</f>
        <v>44835</v>
      </c>
      <c r="E67" s="2" t="str">
        <f>IF(All_India_Index_Upto_April23__13[[#This Row],[Date]]&lt;DATE(2020, 3, 1),"Pre-COVID","Post-COVID")</f>
        <v>Post-COVID</v>
      </c>
      <c r="F67">
        <v>165.2</v>
      </c>
      <c r="G67">
        <v>210.9</v>
      </c>
      <c r="H67">
        <v>170.9</v>
      </c>
      <c r="I67">
        <v>170.9</v>
      </c>
      <c r="J67">
        <v>186.5</v>
      </c>
      <c r="K67">
        <v>163.80000000000001</v>
      </c>
      <c r="L67">
        <v>199.7</v>
      </c>
      <c r="M67">
        <v>169.8</v>
      </c>
      <c r="N67">
        <v>121.9</v>
      </c>
      <c r="O67">
        <v>199.9</v>
      </c>
      <c r="P67">
        <v>169.9</v>
      </c>
      <c r="Q67">
        <v>188.3</v>
      </c>
      <c r="R67">
        <v>179.6</v>
      </c>
      <c r="S67">
        <v>196.3</v>
      </c>
      <c r="T67">
        <v>181.9</v>
      </c>
      <c r="U67">
        <v>175.3</v>
      </c>
      <c r="V67">
        <v>181</v>
      </c>
      <c r="W67" s="3">
        <v>171.2</v>
      </c>
      <c r="X67">
        <v>180.5</v>
      </c>
      <c r="Y67">
        <v>170.4</v>
      </c>
      <c r="Z67">
        <v>178.7</v>
      </c>
      <c r="AA67">
        <v>162.9</v>
      </c>
      <c r="AB67">
        <v>168.2</v>
      </c>
      <c r="AC67">
        <v>173.4</v>
      </c>
      <c r="AD67">
        <v>172.1</v>
      </c>
      <c r="AE67">
        <v>170.5</v>
      </c>
      <c r="AF67">
        <v>176.7</v>
      </c>
      <c r="AG6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68" spans="1:33" hidden="1" x14ac:dyDescent="0.3">
      <c r="A68" t="s">
        <v>30</v>
      </c>
      <c r="B68">
        <v>2014</v>
      </c>
      <c r="C68" t="s">
        <v>43</v>
      </c>
      <c r="D68" s="10">
        <f>DATE(All_India_Index_Upto_April23__13[[#This Row],[Year]],All_India_Index_Upto_April23__13[[#This Row],[Month Number]],1)</f>
        <v>41944</v>
      </c>
      <c r="E68" s="2" t="str">
        <f>IF(All_India_Index_Upto_April23__13[[#This Row],[Date]]&lt;DATE(2020, 3, 1),"Pre-COVID","Post-COVID")</f>
        <v>Pre-COVID</v>
      </c>
      <c r="F68">
        <v>122.7</v>
      </c>
      <c r="G68">
        <v>122.6</v>
      </c>
      <c r="H68">
        <v>119.9</v>
      </c>
      <c r="I68">
        <v>124</v>
      </c>
      <c r="J68">
        <v>110.5</v>
      </c>
      <c r="K68">
        <v>128.80000000000001</v>
      </c>
      <c r="L68">
        <v>152</v>
      </c>
      <c r="M68">
        <v>116.2</v>
      </c>
      <c r="N68">
        <v>103.3</v>
      </c>
      <c r="O68">
        <v>115.8</v>
      </c>
      <c r="P68">
        <v>116.8</v>
      </c>
      <c r="Q68">
        <v>124.5</v>
      </c>
      <c r="R68">
        <v>124.9</v>
      </c>
      <c r="S68">
        <v>120.8</v>
      </c>
      <c r="T68">
        <v>123.3</v>
      </c>
      <c r="U68">
        <v>120.5</v>
      </c>
      <c r="V68">
        <v>122.9</v>
      </c>
      <c r="W68" s="3">
        <v>141</v>
      </c>
      <c r="X68">
        <v>117.3</v>
      </c>
      <c r="Y68">
        <v>118.1</v>
      </c>
      <c r="Z68">
        <v>115.9</v>
      </c>
      <c r="AA68">
        <v>112</v>
      </c>
      <c r="AB68">
        <v>113.3</v>
      </c>
      <c r="AC68">
        <v>117.2</v>
      </c>
      <c r="AD68">
        <v>108.8</v>
      </c>
      <c r="AE68">
        <v>114.1</v>
      </c>
      <c r="AF68">
        <v>121.1</v>
      </c>
      <c r="AG6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69" spans="1:33" hidden="1" x14ac:dyDescent="0.3">
      <c r="A69" t="s">
        <v>32</v>
      </c>
      <c r="B69">
        <v>2014</v>
      </c>
      <c r="C69" t="s">
        <v>43</v>
      </c>
      <c r="D69" s="10">
        <f>DATE(All_India_Index_Upto_April23__13[[#This Row],[Year]],All_India_Index_Upto_April23__13[[#This Row],[Month Number]],1)</f>
        <v>41944</v>
      </c>
      <c r="E69" s="2" t="str">
        <f>IF(All_India_Index_Upto_April23__13[[#This Row],[Date]]&lt;DATE(2020, 3, 1),"Pre-COVID","Post-COVID")</f>
        <v>Pre-COVID</v>
      </c>
      <c r="F69">
        <v>124.5</v>
      </c>
      <c r="G69">
        <v>125.6</v>
      </c>
      <c r="H69">
        <v>122.7</v>
      </c>
      <c r="I69">
        <v>124.6</v>
      </c>
      <c r="J69">
        <v>103.2</v>
      </c>
      <c r="K69">
        <v>122.2</v>
      </c>
      <c r="L69">
        <v>153.19999999999999</v>
      </c>
      <c r="M69">
        <v>119.3</v>
      </c>
      <c r="N69">
        <v>99.8</v>
      </c>
      <c r="O69">
        <v>124.6</v>
      </c>
      <c r="P69">
        <v>115.8</v>
      </c>
      <c r="Q69">
        <v>126.9</v>
      </c>
      <c r="R69">
        <v>125.4</v>
      </c>
      <c r="S69">
        <v>125.8</v>
      </c>
      <c r="T69">
        <v>120.3</v>
      </c>
      <c r="U69">
        <v>115.4</v>
      </c>
      <c r="V69">
        <v>119.5</v>
      </c>
      <c r="W69" s="3">
        <v>117.1</v>
      </c>
      <c r="X69">
        <v>112.6</v>
      </c>
      <c r="Y69">
        <v>116.4</v>
      </c>
      <c r="Z69">
        <v>113</v>
      </c>
      <c r="AA69">
        <v>109.7</v>
      </c>
      <c r="AB69">
        <v>114</v>
      </c>
      <c r="AC69">
        <v>120.3</v>
      </c>
      <c r="AD69">
        <v>109.6</v>
      </c>
      <c r="AE69">
        <v>113.4</v>
      </c>
      <c r="AF69">
        <v>119</v>
      </c>
      <c r="AG6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70" spans="1:33" hidden="1" x14ac:dyDescent="0.3">
      <c r="A70" t="s">
        <v>33</v>
      </c>
      <c r="B70">
        <v>2022</v>
      </c>
      <c r="C70" t="s">
        <v>43</v>
      </c>
      <c r="D70" s="10">
        <f>DATE(All_India_Index_Upto_April23__13[[#This Row],[Year]],All_India_Index_Upto_April23__13[[#This Row],[Month Number]],1)</f>
        <v>44866</v>
      </c>
      <c r="E70" s="2" t="str">
        <f>IF(All_India_Index_Upto_April23__13[[#This Row],[Date]]&lt;DATE(2020, 3, 1),"Pre-COVID","Post-COVID")</f>
        <v>Post-COVID</v>
      </c>
      <c r="F70">
        <v>167.4</v>
      </c>
      <c r="G70">
        <v>209.4</v>
      </c>
      <c r="H70">
        <v>181.4</v>
      </c>
      <c r="I70">
        <v>172.3</v>
      </c>
      <c r="J70">
        <v>188.9</v>
      </c>
      <c r="K70">
        <v>160.69999999999999</v>
      </c>
      <c r="L70">
        <v>183.1</v>
      </c>
      <c r="M70">
        <v>170.5</v>
      </c>
      <c r="N70">
        <v>122.1</v>
      </c>
      <c r="O70">
        <v>202.8</v>
      </c>
      <c r="P70">
        <v>170.4</v>
      </c>
      <c r="Q70">
        <v>189.5</v>
      </c>
      <c r="R70">
        <v>178.3</v>
      </c>
      <c r="S70">
        <v>196.9</v>
      </c>
      <c r="T70">
        <v>183.1</v>
      </c>
      <c r="U70">
        <v>176.2</v>
      </c>
      <c r="V70">
        <v>182.1</v>
      </c>
      <c r="W70" s="3">
        <v>171.8</v>
      </c>
      <c r="X70">
        <v>181.3</v>
      </c>
      <c r="Y70">
        <v>171.4</v>
      </c>
      <c r="Z70">
        <v>179.8</v>
      </c>
      <c r="AA70">
        <v>163</v>
      </c>
      <c r="AB70">
        <v>168.5</v>
      </c>
      <c r="AC70">
        <v>173.7</v>
      </c>
      <c r="AD70">
        <v>173.6</v>
      </c>
      <c r="AE70">
        <v>171.1</v>
      </c>
      <c r="AF70">
        <v>176.5</v>
      </c>
      <c r="AG7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71" spans="1:33" hidden="1" x14ac:dyDescent="0.3">
      <c r="A71" t="s">
        <v>30</v>
      </c>
      <c r="B71">
        <v>2014</v>
      </c>
      <c r="C71" t="s">
        <v>44</v>
      </c>
      <c r="D71" s="10">
        <f>DATE(All_India_Index_Upto_April23__13[[#This Row],[Year]],All_India_Index_Upto_April23__13[[#This Row],[Month Number]],1)</f>
        <v>41974</v>
      </c>
      <c r="E71" s="2" t="str">
        <f>IF(All_India_Index_Upto_April23__13[[#This Row],[Date]]&lt;DATE(2020, 3, 1),"Pre-COVID","Post-COVID")</f>
        <v>Pre-COVID</v>
      </c>
      <c r="F71">
        <v>122.4</v>
      </c>
      <c r="G71">
        <v>122.4</v>
      </c>
      <c r="H71">
        <v>121.8</v>
      </c>
      <c r="I71">
        <v>124.2</v>
      </c>
      <c r="J71">
        <v>110.2</v>
      </c>
      <c r="K71">
        <v>128.6</v>
      </c>
      <c r="L71">
        <v>140.30000000000001</v>
      </c>
      <c r="M71">
        <v>116.3</v>
      </c>
      <c r="N71">
        <v>102</v>
      </c>
      <c r="O71">
        <v>116</v>
      </c>
      <c r="P71">
        <v>117.3</v>
      </c>
      <c r="Q71">
        <v>124.8</v>
      </c>
      <c r="R71">
        <v>123.3</v>
      </c>
      <c r="S71">
        <v>121.7</v>
      </c>
      <c r="T71">
        <v>123.8</v>
      </c>
      <c r="U71">
        <v>120.6</v>
      </c>
      <c r="V71">
        <v>123.3</v>
      </c>
      <c r="W71" s="3">
        <v>141</v>
      </c>
      <c r="X71">
        <v>117.4</v>
      </c>
      <c r="Y71">
        <v>118.2</v>
      </c>
      <c r="Z71">
        <v>116.2</v>
      </c>
      <c r="AA71">
        <v>111.5</v>
      </c>
      <c r="AB71">
        <v>113.3</v>
      </c>
      <c r="AC71">
        <v>117.7</v>
      </c>
      <c r="AD71">
        <v>109.4</v>
      </c>
      <c r="AE71">
        <v>114.2</v>
      </c>
      <c r="AF71">
        <v>120.3</v>
      </c>
      <c r="AG7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72" spans="1:33" hidden="1" x14ac:dyDescent="0.3">
      <c r="A72" t="s">
        <v>32</v>
      </c>
      <c r="B72">
        <v>2014</v>
      </c>
      <c r="C72" t="s">
        <v>44</v>
      </c>
      <c r="D72" s="10">
        <f>DATE(All_India_Index_Upto_April23__13[[#This Row],[Year]],All_India_Index_Upto_April23__13[[#This Row],[Month Number]],1)</f>
        <v>41974</v>
      </c>
      <c r="E72" s="2" t="str">
        <f>IF(All_India_Index_Upto_April23__13[[#This Row],[Date]]&lt;DATE(2020, 3, 1),"Pre-COVID","Post-COVID")</f>
        <v>Pre-COVID</v>
      </c>
      <c r="F72">
        <v>124</v>
      </c>
      <c r="G72">
        <v>124.7</v>
      </c>
      <c r="H72">
        <v>126.3</v>
      </c>
      <c r="I72">
        <v>124.9</v>
      </c>
      <c r="J72">
        <v>103</v>
      </c>
      <c r="K72">
        <v>122.3</v>
      </c>
      <c r="L72">
        <v>141</v>
      </c>
      <c r="M72">
        <v>120.1</v>
      </c>
      <c r="N72">
        <v>97.8</v>
      </c>
      <c r="O72">
        <v>125.4</v>
      </c>
      <c r="P72">
        <v>116.1</v>
      </c>
      <c r="Q72">
        <v>127.6</v>
      </c>
      <c r="R72">
        <v>124</v>
      </c>
      <c r="S72">
        <v>126.4</v>
      </c>
      <c r="T72">
        <v>120.7</v>
      </c>
      <c r="U72">
        <v>115.8</v>
      </c>
      <c r="V72">
        <v>120</v>
      </c>
      <c r="W72" s="3">
        <v>116.5</v>
      </c>
      <c r="X72">
        <v>113</v>
      </c>
      <c r="Y72">
        <v>116.8</v>
      </c>
      <c r="Z72">
        <v>113.2</v>
      </c>
      <c r="AA72">
        <v>108.8</v>
      </c>
      <c r="AB72">
        <v>114.3</v>
      </c>
      <c r="AC72">
        <v>120.7</v>
      </c>
      <c r="AD72">
        <v>110.4</v>
      </c>
      <c r="AE72">
        <v>113.4</v>
      </c>
      <c r="AF72">
        <v>118.4</v>
      </c>
      <c r="AG7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73" spans="1:33" hidden="1" x14ac:dyDescent="0.3">
      <c r="A73" t="s">
        <v>33</v>
      </c>
      <c r="B73">
        <v>2022</v>
      </c>
      <c r="C73" t="s">
        <v>44</v>
      </c>
      <c r="D73" s="10">
        <f>DATE(All_India_Index_Upto_April23__13[[#This Row],[Year]],All_India_Index_Upto_April23__13[[#This Row],[Month Number]],1)</f>
        <v>44896</v>
      </c>
      <c r="E73" s="2" t="str">
        <f>IF(All_India_Index_Upto_April23__13[[#This Row],[Date]]&lt;DATE(2020, 3, 1),"Pre-COVID","Post-COVID")</f>
        <v>Post-COVID</v>
      </c>
      <c r="F73">
        <v>169.2</v>
      </c>
      <c r="G73">
        <v>209</v>
      </c>
      <c r="H73">
        <v>190.2</v>
      </c>
      <c r="I73">
        <v>173.6</v>
      </c>
      <c r="J73">
        <v>188.5</v>
      </c>
      <c r="K73">
        <v>158</v>
      </c>
      <c r="L73">
        <v>159.9</v>
      </c>
      <c r="M73">
        <v>170.8</v>
      </c>
      <c r="N73">
        <v>121.8</v>
      </c>
      <c r="O73">
        <v>205.2</v>
      </c>
      <c r="P73">
        <v>171</v>
      </c>
      <c r="Q73">
        <v>190.3</v>
      </c>
      <c r="R73">
        <v>175.9</v>
      </c>
      <c r="S73">
        <v>197.3</v>
      </c>
      <c r="T73">
        <v>184</v>
      </c>
      <c r="U73">
        <v>177</v>
      </c>
      <c r="V73">
        <v>183</v>
      </c>
      <c r="W73" s="3">
        <v>170.7</v>
      </c>
      <c r="X73">
        <v>182</v>
      </c>
      <c r="Y73">
        <v>172.1</v>
      </c>
      <c r="Z73">
        <v>181.1</v>
      </c>
      <c r="AA73">
        <v>163.4</v>
      </c>
      <c r="AB73">
        <v>168.9</v>
      </c>
      <c r="AC73">
        <v>174.1</v>
      </c>
      <c r="AD73">
        <v>175.8</v>
      </c>
      <c r="AE73">
        <v>172</v>
      </c>
      <c r="AF73">
        <v>175.7</v>
      </c>
      <c r="AG7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74" spans="1:33" hidden="1" x14ac:dyDescent="0.3">
      <c r="A74" t="s">
        <v>30</v>
      </c>
      <c r="B74">
        <v>2015</v>
      </c>
      <c r="C74" t="s">
        <v>31</v>
      </c>
      <c r="D74" s="10">
        <f>DATE(All_India_Index_Upto_April23__13[[#This Row],[Year]],All_India_Index_Upto_April23__13[[#This Row],[Month Number]],1)</f>
        <v>42005</v>
      </c>
      <c r="E74" s="2" t="str">
        <f>IF(All_India_Index_Upto_April23__13[[#This Row],[Date]]&lt;DATE(2020, 3, 1),"Pre-COVID","Post-COVID")</f>
        <v>Pre-COVID</v>
      </c>
      <c r="F74">
        <v>123.1</v>
      </c>
      <c r="G74">
        <v>123.1</v>
      </c>
      <c r="H74">
        <v>122.1</v>
      </c>
      <c r="I74">
        <v>124.9</v>
      </c>
      <c r="J74">
        <v>111</v>
      </c>
      <c r="K74">
        <v>130.4</v>
      </c>
      <c r="L74">
        <v>132.30000000000001</v>
      </c>
      <c r="M74">
        <v>117.2</v>
      </c>
      <c r="N74">
        <v>100.5</v>
      </c>
      <c r="O74">
        <v>117.2</v>
      </c>
      <c r="P74">
        <v>117.9</v>
      </c>
      <c r="Q74">
        <v>125.6</v>
      </c>
      <c r="R74">
        <v>122.8</v>
      </c>
      <c r="S74">
        <v>122.7</v>
      </c>
      <c r="T74">
        <v>124.4</v>
      </c>
      <c r="U74">
        <v>121.6</v>
      </c>
      <c r="V74">
        <v>124</v>
      </c>
      <c r="W74" s="3">
        <v>141</v>
      </c>
      <c r="X74">
        <v>118.4</v>
      </c>
      <c r="Y74">
        <v>118.9</v>
      </c>
      <c r="Z74">
        <v>116.6</v>
      </c>
      <c r="AA74">
        <v>111</v>
      </c>
      <c r="AB74">
        <v>114</v>
      </c>
      <c r="AC74">
        <v>118.2</v>
      </c>
      <c r="AD74">
        <v>110.2</v>
      </c>
      <c r="AE74">
        <v>114.5</v>
      </c>
      <c r="AF74">
        <v>120.3</v>
      </c>
      <c r="AG7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75" spans="1:33" hidden="1" x14ac:dyDescent="0.3">
      <c r="A75" t="s">
        <v>32</v>
      </c>
      <c r="B75">
        <v>2015</v>
      </c>
      <c r="C75" t="s">
        <v>31</v>
      </c>
      <c r="D75" s="10">
        <f>DATE(All_India_Index_Upto_April23__13[[#This Row],[Year]],All_India_Index_Upto_April23__13[[#This Row],[Month Number]],1)</f>
        <v>42005</v>
      </c>
      <c r="E75" s="2" t="str">
        <f>IF(All_India_Index_Upto_April23__13[[#This Row],[Date]]&lt;DATE(2020, 3, 1),"Pre-COVID","Post-COVID")</f>
        <v>Pre-COVID</v>
      </c>
      <c r="F75">
        <v>124</v>
      </c>
      <c r="G75">
        <v>125.5</v>
      </c>
      <c r="H75">
        <v>126.6</v>
      </c>
      <c r="I75">
        <v>125.2</v>
      </c>
      <c r="J75">
        <v>104.3</v>
      </c>
      <c r="K75">
        <v>121.3</v>
      </c>
      <c r="L75">
        <v>134.4</v>
      </c>
      <c r="M75">
        <v>122.9</v>
      </c>
      <c r="N75">
        <v>96.1</v>
      </c>
      <c r="O75">
        <v>126.6</v>
      </c>
      <c r="P75">
        <v>116.5</v>
      </c>
      <c r="Q75">
        <v>128</v>
      </c>
      <c r="R75">
        <v>123.5</v>
      </c>
      <c r="S75">
        <v>127.4</v>
      </c>
      <c r="T75">
        <v>121</v>
      </c>
      <c r="U75">
        <v>116.1</v>
      </c>
      <c r="V75">
        <v>120.2</v>
      </c>
      <c r="W75" s="3">
        <v>117.3</v>
      </c>
      <c r="X75">
        <v>113.4</v>
      </c>
      <c r="Y75">
        <v>117.2</v>
      </c>
      <c r="Z75">
        <v>113.7</v>
      </c>
      <c r="AA75">
        <v>107.9</v>
      </c>
      <c r="AB75">
        <v>114.6</v>
      </c>
      <c r="AC75">
        <v>120.8</v>
      </c>
      <c r="AD75">
        <v>111.4</v>
      </c>
      <c r="AE75">
        <v>113.4</v>
      </c>
      <c r="AF75">
        <v>118.5</v>
      </c>
      <c r="AG7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76" spans="1:33" hidden="1" x14ac:dyDescent="0.3">
      <c r="A76" t="s">
        <v>33</v>
      </c>
      <c r="B76">
        <v>2023</v>
      </c>
      <c r="C76" t="s">
        <v>31</v>
      </c>
      <c r="D76" s="10">
        <f>DATE(All_India_Index_Upto_April23__13[[#This Row],[Year]],All_India_Index_Upto_April23__13[[#This Row],[Month Number]],1)</f>
        <v>44927</v>
      </c>
      <c r="E76" s="2" t="str">
        <f>IF(All_India_Index_Upto_April23__13[[#This Row],[Date]]&lt;DATE(2020, 3, 1),"Pre-COVID","Post-COVID")</f>
        <v>Post-COVID</v>
      </c>
      <c r="F76">
        <v>173.8</v>
      </c>
      <c r="G76">
        <v>210.7</v>
      </c>
      <c r="H76">
        <v>194.5</v>
      </c>
      <c r="I76">
        <v>174.6</v>
      </c>
      <c r="J76">
        <v>187.2</v>
      </c>
      <c r="K76">
        <v>158.30000000000001</v>
      </c>
      <c r="L76">
        <v>153.9</v>
      </c>
      <c r="M76">
        <v>170.9</v>
      </c>
      <c r="N76">
        <v>121.1</v>
      </c>
      <c r="O76">
        <v>208.4</v>
      </c>
      <c r="P76">
        <v>171.4</v>
      </c>
      <c r="Q76">
        <v>191.2</v>
      </c>
      <c r="R76">
        <v>176.7</v>
      </c>
      <c r="S76">
        <v>198.2</v>
      </c>
      <c r="T76">
        <v>184.9</v>
      </c>
      <c r="U76">
        <v>177.6</v>
      </c>
      <c r="V76">
        <v>183.8</v>
      </c>
      <c r="W76" s="3">
        <v>172.1</v>
      </c>
      <c r="X76">
        <v>182</v>
      </c>
      <c r="Y76">
        <v>172.9</v>
      </c>
      <c r="Z76">
        <v>182.3</v>
      </c>
      <c r="AA76">
        <v>163.6</v>
      </c>
      <c r="AB76">
        <v>169.5</v>
      </c>
      <c r="AC76">
        <v>174.3</v>
      </c>
      <c r="AD76">
        <v>178.6</v>
      </c>
      <c r="AE76">
        <v>172.8</v>
      </c>
      <c r="AF76">
        <v>176.5</v>
      </c>
      <c r="AG7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77" spans="1:33" hidden="1" x14ac:dyDescent="0.3">
      <c r="A77" t="s">
        <v>30</v>
      </c>
      <c r="B77">
        <v>2015</v>
      </c>
      <c r="C77" t="s">
        <v>34</v>
      </c>
      <c r="D77" s="10">
        <f>DATE(All_India_Index_Upto_April23__13[[#This Row],[Year]],All_India_Index_Upto_April23__13[[#This Row],[Month Number]],1)</f>
        <v>42036</v>
      </c>
      <c r="E77" s="2" t="str">
        <f>IF(All_India_Index_Upto_April23__13[[#This Row],[Date]]&lt;DATE(2020, 3, 1),"Pre-COVID","Post-COVID")</f>
        <v>Pre-COVID</v>
      </c>
      <c r="F77">
        <v>123.4</v>
      </c>
      <c r="G77">
        <v>124.4</v>
      </c>
      <c r="H77">
        <v>122.1</v>
      </c>
      <c r="I77">
        <v>125.8</v>
      </c>
      <c r="J77">
        <v>111.5</v>
      </c>
      <c r="K77">
        <v>129.4</v>
      </c>
      <c r="L77">
        <v>128.19999999999999</v>
      </c>
      <c r="M77">
        <v>118.8</v>
      </c>
      <c r="N77">
        <v>100</v>
      </c>
      <c r="O77">
        <v>118.6</v>
      </c>
      <c r="P77">
        <v>118.8</v>
      </c>
      <c r="Q77">
        <v>126.8</v>
      </c>
      <c r="R77">
        <v>122.8</v>
      </c>
      <c r="S77">
        <v>124.2</v>
      </c>
      <c r="T77">
        <v>125.4</v>
      </c>
      <c r="U77">
        <v>122.7</v>
      </c>
      <c r="V77">
        <v>125</v>
      </c>
      <c r="W77" s="3">
        <v>141</v>
      </c>
      <c r="X77">
        <v>120</v>
      </c>
      <c r="Y77">
        <v>119.6</v>
      </c>
      <c r="Z77">
        <v>117.7</v>
      </c>
      <c r="AA77">
        <v>110.9</v>
      </c>
      <c r="AB77">
        <v>114.8</v>
      </c>
      <c r="AC77">
        <v>118.7</v>
      </c>
      <c r="AD77">
        <v>110.8</v>
      </c>
      <c r="AE77">
        <v>115</v>
      </c>
      <c r="AF77">
        <v>120.6</v>
      </c>
      <c r="AG7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78" spans="1:33" hidden="1" x14ac:dyDescent="0.3">
      <c r="A78" t="s">
        <v>32</v>
      </c>
      <c r="B78">
        <v>2015</v>
      </c>
      <c r="C78" t="s">
        <v>34</v>
      </c>
      <c r="D78" s="10">
        <f>DATE(All_India_Index_Upto_April23__13[[#This Row],[Year]],All_India_Index_Upto_April23__13[[#This Row],[Month Number]],1)</f>
        <v>42036</v>
      </c>
      <c r="E78" s="2" t="str">
        <f>IF(All_India_Index_Upto_April23__13[[#This Row],[Date]]&lt;DATE(2020, 3, 1),"Pre-COVID","Post-COVID")</f>
        <v>Pre-COVID</v>
      </c>
      <c r="F78">
        <v>124.3</v>
      </c>
      <c r="G78">
        <v>126.5</v>
      </c>
      <c r="H78">
        <v>119.5</v>
      </c>
      <c r="I78">
        <v>125.6</v>
      </c>
      <c r="J78">
        <v>104.9</v>
      </c>
      <c r="K78">
        <v>121.6</v>
      </c>
      <c r="L78">
        <v>131.80000000000001</v>
      </c>
      <c r="M78">
        <v>125.1</v>
      </c>
      <c r="N78">
        <v>95</v>
      </c>
      <c r="O78">
        <v>127.7</v>
      </c>
      <c r="P78">
        <v>116.8</v>
      </c>
      <c r="Q78">
        <v>128.6</v>
      </c>
      <c r="R78">
        <v>123.7</v>
      </c>
      <c r="S78">
        <v>128.1</v>
      </c>
      <c r="T78">
        <v>121.3</v>
      </c>
      <c r="U78">
        <v>116.5</v>
      </c>
      <c r="V78">
        <v>120.6</v>
      </c>
      <c r="W78" s="3">
        <v>118.1</v>
      </c>
      <c r="X78">
        <v>114</v>
      </c>
      <c r="Y78">
        <v>117.7</v>
      </c>
      <c r="Z78">
        <v>114.1</v>
      </c>
      <c r="AA78">
        <v>106.8</v>
      </c>
      <c r="AB78">
        <v>114.9</v>
      </c>
      <c r="AC78">
        <v>120.4</v>
      </c>
      <c r="AD78">
        <v>111.7</v>
      </c>
      <c r="AE78">
        <v>113.2</v>
      </c>
      <c r="AF78">
        <v>118.7</v>
      </c>
      <c r="AG7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79" spans="1:33" hidden="1" x14ac:dyDescent="0.3">
      <c r="A79" t="s">
        <v>33</v>
      </c>
      <c r="B79">
        <v>2023</v>
      </c>
      <c r="C79" t="s">
        <v>34</v>
      </c>
      <c r="D79" s="10">
        <f>DATE(All_India_Index_Upto_April23__13[[#This Row],[Year]],All_India_Index_Upto_April23__13[[#This Row],[Month Number]],1)</f>
        <v>44958</v>
      </c>
      <c r="E79" s="2" t="str">
        <f>IF(All_India_Index_Upto_April23__13[[#This Row],[Date]]&lt;DATE(2020, 3, 1),"Pre-COVID","Post-COVID")</f>
        <v>Post-COVID</v>
      </c>
      <c r="F79">
        <v>174.4</v>
      </c>
      <c r="G79">
        <v>207.7</v>
      </c>
      <c r="H79">
        <v>175.2</v>
      </c>
      <c r="I79">
        <v>177.3</v>
      </c>
      <c r="J79">
        <v>179.3</v>
      </c>
      <c r="K79">
        <v>169.5</v>
      </c>
      <c r="L79">
        <v>152.69999999999999</v>
      </c>
      <c r="M79">
        <v>171</v>
      </c>
      <c r="N79">
        <v>120</v>
      </c>
      <c r="O79">
        <v>209.7</v>
      </c>
      <c r="P79">
        <v>172.3</v>
      </c>
      <c r="Q79">
        <v>193</v>
      </c>
      <c r="R79">
        <v>177</v>
      </c>
      <c r="S79">
        <v>199.5</v>
      </c>
      <c r="T79">
        <v>186.2</v>
      </c>
      <c r="U79">
        <v>178.7</v>
      </c>
      <c r="V79">
        <v>185.1</v>
      </c>
      <c r="W79" s="3">
        <v>173.5</v>
      </c>
      <c r="X79">
        <v>182.1</v>
      </c>
      <c r="Y79">
        <v>174.2</v>
      </c>
      <c r="Z79">
        <v>184.4</v>
      </c>
      <c r="AA79">
        <v>164.2</v>
      </c>
      <c r="AB79">
        <v>170.3</v>
      </c>
      <c r="AC79">
        <v>175</v>
      </c>
      <c r="AD79">
        <v>181</v>
      </c>
      <c r="AE79">
        <v>174.1</v>
      </c>
      <c r="AF79">
        <v>177.2</v>
      </c>
      <c r="AG7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80" spans="1:33" hidden="1" x14ac:dyDescent="0.3">
      <c r="A80" t="s">
        <v>30</v>
      </c>
      <c r="B80">
        <v>2015</v>
      </c>
      <c r="C80" t="s">
        <v>35</v>
      </c>
      <c r="D80" s="10">
        <f>DATE(All_India_Index_Upto_April23__13[[#This Row],[Year]],All_India_Index_Upto_April23__13[[#This Row],[Month Number]],1)</f>
        <v>42064</v>
      </c>
      <c r="E80" s="2" t="str">
        <f>IF(All_India_Index_Upto_April23__13[[#This Row],[Date]]&lt;DATE(2020, 3, 1),"Pre-COVID","Post-COVID")</f>
        <v>Pre-COVID</v>
      </c>
      <c r="F80">
        <v>123.3</v>
      </c>
      <c r="G80">
        <v>124.7</v>
      </c>
      <c r="H80">
        <v>118.9</v>
      </c>
      <c r="I80">
        <v>126</v>
      </c>
      <c r="J80">
        <v>111.8</v>
      </c>
      <c r="K80">
        <v>130.9</v>
      </c>
      <c r="L80">
        <v>128</v>
      </c>
      <c r="M80">
        <v>119.9</v>
      </c>
      <c r="N80">
        <v>98.9</v>
      </c>
      <c r="O80">
        <v>119.4</v>
      </c>
      <c r="P80">
        <v>118.9</v>
      </c>
      <c r="Q80">
        <v>127.7</v>
      </c>
      <c r="R80">
        <v>123.1</v>
      </c>
      <c r="S80">
        <v>124.7</v>
      </c>
      <c r="T80">
        <v>126</v>
      </c>
      <c r="U80">
        <v>122.9</v>
      </c>
      <c r="V80">
        <v>125.5</v>
      </c>
      <c r="W80" s="3">
        <v>141</v>
      </c>
      <c r="X80">
        <v>120.6</v>
      </c>
      <c r="Y80">
        <v>120.2</v>
      </c>
      <c r="Z80">
        <v>118.2</v>
      </c>
      <c r="AA80">
        <v>111.6</v>
      </c>
      <c r="AB80">
        <v>115.5</v>
      </c>
      <c r="AC80">
        <v>119.4</v>
      </c>
      <c r="AD80">
        <v>110.8</v>
      </c>
      <c r="AE80">
        <v>115.5</v>
      </c>
      <c r="AF80">
        <v>121.1</v>
      </c>
      <c r="AG8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81" spans="1:33" hidden="1" x14ac:dyDescent="0.3">
      <c r="A81" t="s">
        <v>32</v>
      </c>
      <c r="B81">
        <v>2015</v>
      </c>
      <c r="C81" t="s">
        <v>35</v>
      </c>
      <c r="D81" s="10">
        <f>DATE(All_India_Index_Upto_April23__13[[#This Row],[Year]],All_India_Index_Upto_April23__13[[#This Row],[Month Number]],1)</f>
        <v>42064</v>
      </c>
      <c r="E81" s="2" t="str">
        <f>IF(All_India_Index_Upto_April23__13[[#This Row],[Date]]&lt;DATE(2020, 3, 1),"Pre-COVID","Post-COVID")</f>
        <v>Pre-COVID</v>
      </c>
      <c r="F81">
        <v>124</v>
      </c>
      <c r="G81">
        <v>126.7</v>
      </c>
      <c r="H81">
        <v>113.5</v>
      </c>
      <c r="I81">
        <v>125.9</v>
      </c>
      <c r="J81">
        <v>104.8</v>
      </c>
      <c r="K81">
        <v>123.8</v>
      </c>
      <c r="L81">
        <v>131.4</v>
      </c>
      <c r="M81">
        <v>127.2</v>
      </c>
      <c r="N81">
        <v>93.2</v>
      </c>
      <c r="O81">
        <v>127.4</v>
      </c>
      <c r="P81">
        <v>117</v>
      </c>
      <c r="Q81">
        <v>129.19999999999999</v>
      </c>
      <c r="R81">
        <v>123.9</v>
      </c>
      <c r="S81">
        <v>128.80000000000001</v>
      </c>
      <c r="T81">
        <v>121.7</v>
      </c>
      <c r="U81">
        <v>116.9</v>
      </c>
      <c r="V81">
        <v>120.9</v>
      </c>
      <c r="W81" s="3">
        <v>118.6</v>
      </c>
      <c r="X81">
        <v>114.4</v>
      </c>
      <c r="Y81">
        <v>118</v>
      </c>
      <c r="Z81">
        <v>114.3</v>
      </c>
      <c r="AA81">
        <v>108.4</v>
      </c>
      <c r="AB81">
        <v>115.4</v>
      </c>
      <c r="AC81">
        <v>120.6</v>
      </c>
      <c r="AD81">
        <v>111.3</v>
      </c>
      <c r="AE81">
        <v>113.8</v>
      </c>
      <c r="AF81">
        <v>119.1</v>
      </c>
      <c r="AG8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82" spans="1:33" hidden="1" x14ac:dyDescent="0.3">
      <c r="A82" t="s">
        <v>33</v>
      </c>
      <c r="B82">
        <v>2023</v>
      </c>
      <c r="C82" t="s">
        <v>35</v>
      </c>
      <c r="D82" s="10">
        <f>DATE(All_India_Index_Upto_April23__13[[#This Row],[Year]],All_India_Index_Upto_April23__13[[#This Row],[Month Number]],1)</f>
        <v>44986</v>
      </c>
      <c r="E82" s="2" t="str">
        <f>IF(All_India_Index_Upto_April23__13[[#This Row],[Date]]&lt;DATE(2020, 3, 1),"Pre-COVID","Post-COVID")</f>
        <v>Post-COVID</v>
      </c>
      <c r="F82">
        <v>174.4</v>
      </c>
      <c r="G82">
        <v>207.7</v>
      </c>
      <c r="H82">
        <v>175.2</v>
      </c>
      <c r="I82">
        <v>177.3</v>
      </c>
      <c r="J82">
        <v>179.2</v>
      </c>
      <c r="K82">
        <v>169.5</v>
      </c>
      <c r="L82">
        <v>152.80000000000001</v>
      </c>
      <c r="M82">
        <v>171.1</v>
      </c>
      <c r="N82">
        <v>120</v>
      </c>
      <c r="O82">
        <v>209.7</v>
      </c>
      <c r="P82">
        <v>172.3</v>
      </c>
      <c r="Q82">
        <v>193</v>
      </c>
      <c r="R82">
        <v>177</v>
      </c>
      <c r="S82">
        <v>199.5</v>
      </c>
      <c r="T82">
        <v>186.1</v>
      </c>
      <c r="U82">
        <v>178.7</v>
      </c>
      <c r="V82">
        <v>185.1</v>
      </c>
      <c r="W82" s="3">
        <v>173.5</v>
      </c>
      <c r="X82">
        <v>181.9</v>
      </c>
      <c r="Y82">
        <v>174.2</v>
      </c>
      <c r="Z82">
        <v>184.4</v>
      </c>
      <c r="AA82">
        <v>164.2</v>
      </c>
      <c r="AB82">
        <v>170.3</v>
      </c>
      <c r="AC82">
        <v>175</v>
      </c>
      <c r="AD82">
        <v>181</v>
      </c>
      <c r="AE82">
        <v>174.1</v>
      </c>
      <c r="AF82">
        <v>177.2</v>
      </c>
      <c r="AG8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83" spans="1:33" hidden="1" x14ac:dyDescent="0.3">
      <c r="A83" t="s">
        <v>30</v>
      </c>
      <c r="B83">
        <v>2015</v>
      </c>
      <c r="C83" t="s">
        <v>36</v>
      </c>
      <c r="D83" s="10">
        <f>DATE(All_India_Index_Upto_April23__13[[#This Row],[Year]],All_India_Index_Upto_April23__13[[#This Row],[Month Number]],1)</f>
        <v>42095</v>
      </c>
      <c r="E83" s="2" t="str">
        <f>IF(All_India_Index_Upto_April23__13[[#This Row],[Date]]&lt;DATE(2020, 3, 1),"Pre-COVID","Post-COVID")</f>
        <v>Pre-COVID</v>
      </c>
      <c r="F83">
        <v>123.3</v>
      </c>
      <c r="G83">
        <v>125.5</v>
      </c>
      <c r="H83">
        <v>117.2</v>
      </c>
      <c r="I83">
        <v>126.8</v>
      </c>
      <c r="J83">
        <v>111.9</v>
      </c>
      <c r="K83">
        <v>134.19999999999999</v>
      </c>
      <c r="L83">
        <v>127.5</v>
      </c>
      <c r="M83">
        <v>121.5</v>
      </c>
      <c r="N83">
        <v>97.8</v>
      </c>
      <c r="O83">
        <v>119.8</v>
      </c>
      <c r="P83">
        <v>119.4</v>
      </c>
      <c r="Q83">
        <v>128.69999999999999</v>
      </c>
      <c r="R83">
        <v>123.6</v>
      </c>
      <c r="S83">
        <v>125.7</v>
      </c>
      <c r="T83">
        <v>126.4</v>
      </c>
      <c r="U83">
        <v>123.3</v>
      </c>
      <c r="V83">
        <v>126</v>
      </c>
      <c r="W83" s="3">
        <v>141</v>
      </c>
      <c r="X83">
        <v>121.2</v>
      </c>
      <c r="Y83">
        <v>120.9</v>
      </c>
      <c r="Z83">
        <v>118.6</v>
      </c>
      <c r="AA83">
        <v>111.9</v>
      </c>
      <c r="AB83">
        <v>116.2</v>
      </c>
      <c r="AC83">
        <v>119.9</v>
      </c>
      <c r="AD83">
        <v>111.6</v>
      </c>
      <c r="AE83">
        <v>116</v>
      </c>
      <c r="AF83">
        <v>121.5</v>
      </c>
      <c r="AG8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84" spans="1:33" hidden="1" x14ac:dyDescent="0.3">
      <c r="A84" t="s">
        <v>32</v>
      </c>
      <c r="B84">
        <v>2015</v>
      </c>
      <c r="C84" t="s">
        <v>36</v>
      </c>
      <c r="D84" s="10">
        <f>DATE(All_India_Index_Upto_April23__13[[#This Row],[Year]],All_India_Index_Upto_April23__13[[#This Row],[Month Number]],1)</f>
        <v>42095</v>
      </c>
      <c r="E84" s="2" t="str">
        <f>IF(All_India_Index_Upto_April23__13[[#This Row],[Date]]&lt;DATE(2020, 3, 1),"Pre-COVID","Post-COVID")</f>
        <v>Pre-COVID</v>
      </c>
      <c r="F84">
        <v>123.8</v>
      </c>
      <c r="G84">
        <v>128.19999999999999</v>
      </c>
      <c r="H84">
        <v>110</v>
      </c>
      <c r="I84">
        <v>126.3</v>
      </c>
      <c r="J84">
        <v>104.5</v>
      </c>
      <c r="K84">
        <v>130.6</v>
      </c>
      <c r="L84">
        <v>130.80000000000001</v>
      </c>
      <c r="M84">
        <v>131.30000000000001</v>
      </c>
      <c r="N84">
        <v>91.6</v>
      </c>
      <c r="O84">
        <v>127.7</v>
      </c>
      <c r="P84">
        <v>117.2</v>
      </c>
      <c r="Q84">
        <v>129.5</v>
      </c>
      <c r="R84">
        <v>124.6</v>
      </c>
      <c r="S84">
        <v>130.1</v>
      </c>
      <c r="T84">
        <v>122.1</v>
      </c>
      <c r="U84">
        <v>117.2</v>
      </c>
      <c r="V84">
        <v>121.3</v>
      </c>
      <c r="W84" s="3">
        <v>119.2</v>
      </c>
      <c r="X84">
        <v>114.7</v>
      </c>
      <c r="Y84">
        <v>118.4</v>
      </c>
      <c r="Z84">
        <v>114.6</v>
      </c>
      <c r="AA84">
        <v>108.4</v>
      </c>
      <c r="AB84">
        <v>115.6</v>
      </c>
      <c r="AC84">
        <v>121.7</v>
      </c>
      <c r="AD84">
        <v>111.8</v>
      </c>
      <c r="AE84">
        <v>114.2</v>
      </c>
      <c r="AF84">
        <v>119.7</v>
      </c>
      <c r="AG8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85" spans="1:33" hidden="1" x14ac:dyDescent="0.3">
      <c r="A85" t="s">
        <v>33</v>
      </c>
      <c r="B85">
        <v>2023</v>
      </c>
      <c r="C85" t="s">
        <v>36</v>
      </c>
      <c r="D85" s="10">
        <f>DATE(All_India_Index_Upto_April23__13[[#This Row],[Year]],All_India_Index_Upto_April23__13[[#This Row],[Month Number]],1)</f>
        <v>45017</v>
      </c>
      <c r="E85" s="2" t="str">
        <f>IF(All_India_Index_Upto_April23__13[[#This Row],[Date]]&lt;DATE(2020, 3, 1),"Pre-COVID","Post-COVID")</f>
        <v>Post-COVID</v>
      </c>
      <c r="F85">
        <v>173.8</v>
      </c>
      <c r="G85">
        <v>209.3</v>
      </c>
      <c r="H85">
        <v>169.6</v>
      </c>
      <c r="I85">
        <v>178.4</v>
      </c>
      <c r="J85">
        <v>174.9</v>
      </c>
      <c r="K85">
        <v>176.3</v>
      </c>
      <c r="L85">
        <v>155.4</v>
      </c>
      <c r="M85">
        <v>173.4</v>
      </c>
      <c r="N85">
        <v>121.3</v>
      </c>
      <c r="O85">
        <v>212.9</v>
      </c>
      <c r="P85">
        <v>172.9</v>
      </c>
      <c r="Q85">
        <v>193.5</v>
      </c>
      <c r="R85">
        <v>177.9</v>
      </c>
      <c r="S85">
        <v>200.6</v>
      </c>
      <c r="T85">
        <v>186.9</v>
      </c>
      <c r="U85">
        <v>179.2</v>
      </c>
      <c r="V85">
        <v>185.7</v>
      </c>
      <c r="W85" s="3">
        <v>175.2</v>
      </c>
      <c r="X85">
        <v>181.7</v>
      </c>
      <c r="Y85">
        <v>174.6</v>
      </c>
      <c r="Z85">
        <v>185</v>
      </c>
      <c r="AA85">
        <v>164.5</v>
      </c>
      <c r="AB85">
        <v>170.7</v>
      </c>
      <c r="AC85">
        <v>176.4</v>
      </c>
      <c r="AD85">
        <v>184</v>
      </c>
      <c r="AE85">
        <v>175</v>
      </c>
      <c r="AF85">
        <v>178.1</v>
      </c>
      <c r="AG8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86" spans="1:33" hidden="1" x14ac:dyDescent="0.3">
      <c r="A86" t="s">
        <v>30</v>
      </c>
      <c r="B86">
        <v>2015</v>
      </c>
      <c r="C86" t="s">
        <v>37</v>
      </c>
      <c r="D86" s="10">
        <f>DATE(All_India_Index_Upto_April23__13[[#This Row],[Year]],All_India_Index_Upto_April23__13[[#This Row],[Month Number]],1)</f>
        <v>42125</v>
      </c>
      <c r="E86" s="2" t="str">
        <f>IF(All_India_Index_Upto_April23__13[[#This Row],[Date]]&lt;DATE(2020, 3, 1),"Pre-COVID","Post-COVID")</f>
        <v>Pre-COVID</v>
      </c>
      <c r="F86">
        <v>123.5</v>
      </c>
      <c r="G86">
        <v>127.1</v>
      </c>
      <c r="H86">
        <v>117.3</v>
      </c>
      <c r="I86">
        <v>127.7</v>
      </c>
      <c r="J86">
        <v>112.5</v>
      </c>
      <c r="K86">
        <v>134.1</v>
      </c>
      <c r="L86">
        <v>128.5</v>
      </c>
      <c r="M86">
        <v>124.3</v>
      </c>
      <c r="N86">
        <v>97.6</v>
      </c>
      <c r="O86">
        <v>120.7</v>
      </c>
      <c r="P86">
        <v>120.2</v>
      </c>
      <c r="Q86">
        <v>129.80000000000001</v>
      </c>
      <c r="R86">
        <v>124.4</v>
      </c>
      <c r="S86">
        <v>126.7</v>
      </c>
      <c r="T86">
        <v>127.3</v>
      </c>
      <c r="U86">
        <v>124.1</v>
      </c>
      <c r="V86">
        <v>126.8</v>
      </c>
      <c r="W86" s="3">
        <v>141</v>
      </c>
      <c r="X86">
        <v>121.9</v>
      </c>
      <c r="Y86">
        <v>121.5</v>
      </c>
      <c r="Z86">
        <v>119.4</v>
      </c>
      <c r="AA86">
        <v>113.3</v>
      </c>
      <c r="AB86">
        <v>116.7</v>
      </c>
      <c r="AC86">
        <v>120.5</v>
      </c>
      <c r="AD86">
        <v>112.3</v>
      </c>
      <c r="AE86">
        <v>116.9</v>
      </c>
      <c r="AF86">
        <v>122.4</v>
      </c>
      <c r="AG8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87" spans="1:33" hidden="1" x14ac:dyDescent="0.3">
      <c r="A87" t="s">
        <v>32</v>
      </c>
      <c r="B87">
        <v>2015</v>
      </c>
      <c r="C87" t="s">
        <v>37</v>
      </c>
      <c r="D87" s="10">
        <f>DATE(All_India_Index_Upto_April23__13[[#This Row],[Year]],All_India_Index_Upto_April23__13[[#This Row],[Month Number]],1)</f>
        <v>42125</v>
      </c>
      <c r="E87" s="2" t="str">
        <f>IF(All_India_Index_Upto_April23__13[[#This Row],[Date]]&lt;DATE(2020, 3, 1),"Pre-COVID","Post-COVID")</f>
        <v>Pre-COVID</v>
      </c>
      <c r="F87">
        <v>123.8</v>
      </c>
      <c r="G87">
        <v>129.69999999999999</v>
      </c>
      <c r="H87">
        <v>111.3</v>
      </c>
      <c r="I87">
        <v>126.6</v>
      </c>
      <c r="J87">
        <v>105.2</v>
      </c>
      <c r="K87">
        <v>130.80000000000001</v>
      </c>
      <c r="L87">
        <v>135.6</v>
      </c>
      <c r="M87">
        <v>142.6</v>
      </c>
      <c r="N87">
        <v>90.8</v>
      </c>
      <c r="O87">
        <v>128.80000000000001</v>
      </c>
      <c r="P87">
        <v>117.7</v>
      </c>
      <c r="Q87">
        <v>129.9</v>
      </c>
      <c r="R87">
        <v>126.1</v>
      </c>
      <c r="S87">
        <v>131.30000000000001</v>
      </c>
      <c r="T87">
        <v>122.4</v>
      </c>
      <c r="U87">
        <v>117.4</v>
      </c>
      <c r="V87">
        <v>121.6</v>
      </c>
      <c r="W87" s="3">
        <v>119.6</v>
      </c>
      <c r="X87">
        <v>114.9</v>
      </c>
      <c r="Y87">
        <v>118.7</v>
      </c>
      <c r="Z87">
        <v>114.9</v>
      </c>
      <c r="AA87">
        <v>110.8</v>
      </c>
      <c r="AB87">
        <v>116</v>
      </c>
      <c r="AC87">
        <v>122</v>
      </c>
      <c r="AD87">
        <v>112.4</v>
      </c>
      <c r="AE87">
        <v>115.2</v>
      </c>
      <c r="AF87">
        <v>120.7</v>
      </c>
      <c r="AG8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88" spans="1:33" hidden="1" x14ac:dyDescent="0.3">
      <c r="A88" t="s">
        <v>33</v>
      </c>
      <c r="B88">
        <v>2023</v>
      </c>
      <c r="C88" t="s">
        <v>37</v>
      </c>
      <c r="D88" s="10">
        <f>DATE(All_India_Index_Upto_April23__13[[#This Row],[Year]],All_India_Index_Upto_April23__13[[#This Row],[Month Number]],1)</f>
        <v>45047</v>
      </c>
      <c r="E88" s="2" t="str">
        <f>IF(All_India_Index_Upto_April23__13[[#This Row],[Date]]&lt;DATE(2020, 3, 1),"Pre-COVID","Post-COVID")</f>
        <v>Post-COVID</v>
      </c>
      <c r="F88">
        <v>173.7</v>
      </c>
      <c r="G88">
        <v>214.3</v>
      </c>
      <c r="H88">
        <v>173.2</v>
      </c>
      <c r="I88">
        <v>179.5</v>
      </c>
      <c r="J88">
        <v>170</v>
      </c>
      <c r="K88">
        <v>172.2</v>
      </c>
      <c r="L88">
        <v>161</v>
      </c>
      <c r="M88">
        <v>175.6</v>
      </c>
      <c r="N88">
        <v>122.7</v>
      </c>
      <c r="O88">
        <v>218</v>
      </c>
      <c r="P88">
        <v>173.4</v>
      </c>
      <c r="Q88">
        <v>194.2</v>
      </c>
      <c r="R88">
        <v>179.1</v>
      </c>
      <c r="S88">
        <v>201</v>
      </c>
      <c r="T88">
        <v>187.3</v>
      </c>
      <c r="U88">
        <v>179.7</v>
      </c>
      <c r="V88">
        <v>186.2</v>
      </c>
      <c r="W88" s="3">
        <v>175.6</v>
      </c>
      <c r="X88">
        <v>182.8</v>
      </c>
      <c r="Y88">
        <v>175.2</v>
      </c>
      <c r="Z88">
        <v>185.7</v>
      </c>
      <c r="AA88">
        <v>164.8</v>
      </c>
      <c r="AB88">
        <v>171.2</v>
      </c>
      <c r="AC88">
        <v>177.1</v>
      </c>
      <c r="AD88">
        <v>185.2</v>
      </c>
      <c r="AE88">
        <v>175.7</v>
      </c>
      <c r="AF88">
        <v>179.1</v>
      </c>
      <c r="AG8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89" spans="1:33" hidden="1" x14ac:dyDescent="0.3">
      <c r="A89" t="s">
        <v>30</v>
      </c>
      <c r="B89">
        <v>2015</v>
      </c>
      <c r="C89" t="s">
        <v>38</v>
      </c>
      <c r="D89" s="10">
        <f>DATE(All_India_Index_Upto_April23__13[[#This Row],[Year]],All_India_Index_Upto_April23__13[[#This Row],[Month Number]],1)</f>
        <v>42156</v>
      </c>
      <c r="E89" s="2" t="str">
        <f>IF(All_India_Index_Upto_April23__13[[#This Row],[Date]]&lt;DATE(2020, 3, 1),"Pre-COVID","Post-COVID")</f>
        <v>Pre-COVID</v>
      </c>
      <c r="F89">
        <v>124.1</v>
      </c>
      <c r="G89">
        <v>130.4</v>
      </c>
      <c r="H89">
        <v>122.1</v>
      </c>
      <c r="I89">
        <v>128.69999999999999</v>
      </c>
      <c r="J89">
        <v>114.1</v>
      </c>
      <c r="K89">
        <v>133.19999999999999</v>
      </c>
      <c r="L89">
        <v>135.19999999999999</v>
      </c>
      <c r="M89">
        <v>131.9</v>
      </c>
      <c r="N89">
        <v>96.3</v>
      </c>
      <c r="O89">
        <v>123</v>
      </c>
      <c r="P89">
        <v>121.1</v>
      </c>
      <c r="Q89">
        <v>131.19999999999999</v>
      </c>
      <c r="R89">
        <v>126.6</v>
      </c>
      <c r="S89">
        <v>128.19999999999999</v>
      </c>
      <c r="T89">
        <v>128.4</v>
      </c>
      <c r="U89">
        <v>125.1</v>
      </c>
      <c r="V89">
        <v>128</v>
      </c>
      <c r="W89" s="3">
        <v>141</v>
      </c>
      <c r="X89">
        <v>122.6</v>
      </c>
      <c r="Y89">
        <v>122.8</v>
      </c>
      <c r="Z89">
        <v>120.4</v>
      </c>
      <c r="AA89">
        <v>114.2</v>
      </c>
      <c r="AB89">
        <v>117.9</v>
      </c>
      <c r="AC89">
        <v>122</v>
      </c>
      <c r="AD89">
        <v>113</v>
      </c>
      <c r="AE89">
        <v>117.9</v>
      </c>
      <c r="AF89">
        <v>124.1</v>
      </c>
      <c r="AG8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90" spans="1:33" hidden="1" x14ac:dyDescent="0.3">
      <c r="A90" t="s">
        <v>32</v>
      </c>
      <c r="B90">
        <v>2015</v>
      </c>
      <c r="C90" t="s">
        <v>38</v>
      </c>
      <c r="D90" s="10">
        <f>DATE(All_India_Index_Upto_April23__13[[#This Row],[Year]],All_India_Index_Upto_April23__13[[#This Row],[Month Number]],1)</f>
        <v>42156</v>
      </c>
      <c r="E90" s="2" t="str">
        <f>IF(All_India_Index_Upto_April23__13[[#This Row],[Date]]&lt;DATE(2020, 3, 1),"Pre-COVID","Post-COVID")</f>
        <v>Pre-COVID</v>
      </c>
      <c r="F90">
        <v>123.6</v>
      </c>
      <c r="G90">
        <v>134.4</v>
      </c>
      <c r="H90">
        <v>120.9</v>
      </c>
      <c r="I90">
        <v>127.3</v>
      </c>
      <c r="J90">
        <v>106</v>
      </c>
      <c r="K90">
        <v>132.30000000000001</v>
      </c>
      <c r="L90">
        <v>146.69999999999999</v>
      </c>
      <c r="M90">
        <v>148.1</v>
      </c>
      <c r="N90">
        <v>89.8</v>
      </c>
      <c r="O90">
        <v>130.5</v>
      </c>
      <c r="P90">
        <v>118</v>
      </c>
      <c r="Q90">
        <v>130.5</v>
      </c>
      <c r="R90">
        <v>128.5</v>
      </c>
      <c r="S90">
        <v>132.1</v>
      </c>
      <c r="T90">
        <v>123.2</v>
      </c>
      <c r="U90">
        <v>117.6</v>
      </c>
      <c r="V90">
        <v>122.3</v>
      </c>
      <c r="W90" s="3">
        <v>119</v>
      </c>
      <c r="X90">
        <v>115.1</v>
      </c>
      <c r="Y90">
        <v>119.2</v>
      </c>
      <c r="Z90">
        <v>115.4</v>
      </c>
      <c r="AA90">
        <v>111.7</v>
      </c>
      <c r="AB90">
        <v>116.2</v>
      </c>
      <c r="AC90">
        <v>123.8</v>
      </c>
      <c r="AD90">
        <v>112.5</v>
      </c>
      <c r="AE90">
        <v>116</v>
      </c>
      <c r="AF90">
        <v>121.7</v>
      </c>
      <c r="AG9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91" spans="1:33" hidden="1" x14ac:dyDescent="0.3">
      <c r="A91" t="s">
        <v>33</v>
      </c>
      <c r="B91">
        <v>2020</v>
      </c>
      <c r="C91" t="s">
        <v>44</v>
      </c>
      <c r="D91" s="10">
        <f>DATE(All_India_Index_Upto_April23__13[[#This Row],[Year]],All_India_Index_Upto_April23__13[[#This Row],[Month Number]],1)</f>
        <v>44166</v>
      </c>
      <c r="E91" s="2" t="str">
        <f>IF(All_India_Index_Upto_April23__13[[#This Row],[Date]]&lt;DATE(2020, 3, 1),"Pre-COVID","Post-COVID")</f>
        <v>Post-COVID</v>
      </c>
      <c r="F91">
        <v>146</v>
      </c>
      <c r="G91">
        <v>191</v>
      </c>
      <c r="H91">
        <v>175.3</v>
      </c>
      <c r="I91">
        <v>154.1</v>
      </c>
      <c r="J91">
        <v>146.6</v>
      </c>
      <c r="K91">
        <v>147.69999999999999</v>
      </c>
      <c r="L91">
        <v>230.5</v>
      </c>
      <c r="M91">
        <v>160.19999999999999</v>
      </c>
      <c r="N91">
        <v>115.3</v>
      </c>
      <c r="O91">
        <v>163</v>
      </c>
      <c r="P91">
        <v>149.19999999999999</v>
      </c>
      <c r="Q91">
        <v>164.8</v>
      </c>
      <c r="R91">
        <v>165.4</v>
      </c>
      <c r="S91">
        <v>185.4</v>
      </c>
      <c r="T91">
        <v>155</v>
      </c>
      <c r="U91">
        <v>145.4</v>
      </c>
      <c r="V91">
        <v>153.6</v>
      </c>
      <c r="W91" s="3">
        <v>158.4</v>
      </c>
      <c r="X91">
        <v>144.6</v>
      </c>
      <c r="Y91">
        <v>149.69999999999999</v>
      </c>
      <c r="Z91">
        <v>158.30000000000001</v>
      </c>
      <c r="AA91">
        <v>140.69999999999999</v>
      </c>
      <c r="AB91">
        <v>148.5</v>
      </c>
      <c r="AC91">
        <v>159.4</v>
      </c>
      <c r="AD91">
        <v>157.1</v>
      </c>
      <c r="AE91">
        <v>151.19999999999999</v>
      </c>
      <c r="AF91">
        <v>158.9</v>
      </c>
      <c r="AG9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92" spans="1:33" hidden="1" x14ac:dyDescent="0.3">
      <c r="A92" t="s">
        <v>30</v>
      </c>
      <c r="B92">
        <v>2015</v>
      </c>
      <c r="C92" t="s">
        <v>39</v>
      </c>
      <c r="D92" s="10">
        <f>DATE(All_India_Index_Upto_April23__13[[#This Row],[Year]],All_India_Index_Upto_April23__13[[#This Row],[Month Number]],1)</f>
        <v>42186</v>
      </c>
      <c r="E92" s="2" t="str">
        <f>IF(All_India_Index_Upto_April23__13[[#This Row],[Date]]&lt;DATE(2020, 3, 1),"Pre-COVID","Post-COVID")</f>
        <v>Pre-COVID</v>
      </c>
      <c r="F92">
        <v>124</v>
      </c>
      <c r="G92">
        <v>131.5</v>
      </c>
      <c r="H92">
        <v>122</v>
      </c>
      <c r="I92">
        <v>128.69999999999999</v>
      </c>
      <c r="J92">
        <v>113.5</v>
      </c>
      <c r="K92">
        <v>133.30000000000001</v>
      </c>
      <c r="L92">
        <v>140.80000000000001</v>
      </c>
      <c r="M92">
        <v>133.80000000000001</v>
      </c>
      <c r="N92">
        <v>94.1</v>
      </c>
      <c r="O92">
        <v>123.4</v>
      </c>
      <c r="P92">
        <v>121</v>
      </c>
      <c r="Q92">
        <v>131.69999999999999</v>
      </c>
      <c r="R92">
        <v>127.5</v>
      </c>
      <c r="S92">
        <v>129.4</v>
      </c>
      <c r="T92">
        <v>128.80000000000001</v>
      </c>
      <c r="U92">
        <v>125.5</v>
      </c>
      <c r="V92">
        <v>128.30000000000001</v>
      </c>
      <c r="W92" s="3">
        <v>141</v>
      </c>
      <c r="X92">
        <v>123</v>
      </c>
      <c r="Y92">
        <v>123</v>
      </c>
      <c r="Z92">
        <v>120.8</v>
      </c>
      <c r="AA92">
        <v>114.1</v>
      </c>
      <c r="AB92">
        <v>118</v>
      </c>
      <c r="AC92">
        <v>122.9</v>
      </c>
      <c r="AD92">
        <v>112.7</v>
      </c>
      <c r="AE92">
        <v>118.1</v>
      </c>
      <c r="AF92">
        <v>124.7</v>
      </c>
      <c r="AG9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93" spans="1:33" hidden="1" x14ac:dyDescent="0.3">
      <c r="A93" t="s">
        <v>32</v>
      </c>
      <c r="B93">
        <v>2015</v>
      </c>
      <c r="C93" t="s">
        <v>39</v>
      </c>
      <c r="D93" s="10">
        <f>DATE(All_India_Index_Upto_April23__13[[#This Row],[Year]],All_India_Index_Upto_April23__13[[#This Row],[Month Number]],1)</f>
        <v>42186</v>
      </c>
      <c r="E93" s="2" t="str">
        <f>IF(All_India_Index_Upto_April23__13[[#This Row],[Date]]&lt;DATE(2020, 3, 1),"Pre-COVID","Post-COVID")</f>
        <v>Pre-COVID</v>
      </c>
      <c r="F93">
        <v>123.2</v>
      </c>
      <c r="G93">
        <v>134.30000000000001</v>
      </c>
      <c r="H93">
        <v>119.5</v>
      </c>
      <c r="I93">
        <v>127.7</v>
      </c>
      <c r="J93">
        <v>106.3</v>
      </c>
      <c r="K93">
        <v>132.80000000000001</v>
      </c>
      <c r="L93">
        <v>153.5</v>
      </c>
      <c r="M93">
        <v>149.5</v>
      </c>
      <c r="N93">
        <v>85.7</v>
      </c>
      <c r="O93">
        <v>131.5</v>
      </c>
      <c r="P93">
        <v>118.3</v>
      </c>
      <c r="Q93">
        <v>131.1</v>
      </c>
      <c r="R93">
        <v>129.5</v>
      </c>
      <c r="S93">
        <v>133.1</v>
      </c>
      <c r="T93">
        <v>123.5</v>
      </c>
      <c r="U93">
        <v>117.9</v>
      </c>
      <c r="V93">
        <v>122.7</v>
      </c>
      <c r="W93" s="3">
        <v>119.9</v>
      </c>
      <c r="X93">
        <v>115.3</v>
      </c>
      <c r="Y93">
        <v>119.5</v>
      </c>
      <c r="Z93">
        <v>116</v>
      </c>
      <c r="AA93">
        <v>111.5</v>
      </c>
      <c r="AB93">
        <v>116.6</v>
      </c>
      <c r="AC93">
        <v>125.4</v>
      </c>
      <c r="AD93">
        <v>111.7</v>
      </c>
      <c r="AE93">
        <v>116.3</v>
      </c>
      <c r="AF93">
        <v>122.4</v>
      </c>
      <c r="AG9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94" spans="1:33" hidden="1" x14ac:dyDescent="0.3">
      <c r="A94" t="s">
        <v>33</v>
      </c>
      <c r="B94">
        <v>2020</v>
      </c>
      <c r="C94" t="s">
        <v>43</v>
      </c>
      <c r="D94" s="10">
        <f>DATE(All_India_Index_Upto_April23__13[[#This Row],[Year]],All_India_Index_Upto_April23__13[[#This Row],[Month Number]],1)</f>
        <v>44136</v>
      </c>
      <c r="E94" s="2" t="str">
        <f>IF(All_India_Index_Upto_April23__13[[#This Row],[Date]]&lt;DATE(2020, 3, 1),"Pre-COVID","Post-COVID")</f>
        <v>Post-COVID</v>
      </c>
      <c r="F94">
        <v>146.80000000000001</v>
      </c>
      <c r="G94">
        <v>191</v>
      </c>
      <c r="H94">
        <v>173.6</v>
      </c>
      <c r="I94">
        <v>153.80000000000001</v>
      </c>
      <c r="J94">
        <v>142.69999999999999</v>
      </c>
      <c r="K94">
        <v>148.4</v>
      </c>
      <c r="L94">
        <v>230</v>
      </c>
      <c r="M94">
        <v>156.80000000000001</v>
      </c>
      <c r="N94">
        <v>115.7</v>
      </c>
      <c r="O94">
        <v>161.80000000000001</v>
      </c>
      <c r="P94">
        <v>146.5</v>
      </c>
      <c r="Q94">
        <v>163.80000000000001</v>
      </c>
      <c r="R94">
        <v>164.7</v>
      </c>
      <c r="S94">
        <v>184.8</v>
      </c>
      <c r="T94">
        <v>154.30000000000001</v>
      </c>
      <c r="U94">
        <v>144.9</v>
      </c>
      <c r="V94">
        <v>152.80000000000001</v>
      </c>
      <c r="W94" s="3">
        <v>158</v>
      </c>
      <c r="X94">
        <v>143.6</v>
      </c>
      <c r="Y94">
        <v>149.19999999999999</v>
      </c>
      <c r="Z94">
        <v>157.19999999999999</v>
      </c>
      <c r="AA94">
        <v>140.4</v>
      </c>
      <c r="AB94">
        <v>148.4</v>
      </c>
      <c r="AC94">
        <v>158.6</v>
      </c>
      <c r="AD94">
        <v>156.9</v>
      </c>
      <c r="AE94">
        <v>150.69999999999999</v>
      </c>
      <c r="AF94">
        <v>158.4</v>
      </c>
      <c r="AG9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95" spans="1:33" hidden="1" x14ac:dyDescent="0.3">
      <c r="A95" t="s">
        <v>30</v>
      </c>
      <c r="B95">
        <v>2015</v>
      </c>
      <c r="C95" t="s">
        <v>40</v>
      </c>
      <c r="D95" s="10">
        <f>DATE(All_India_Index_Upto_April23__13[[#This Row],[Year]],All_India_Index_Upto_April23__13[[#This Row],[Month Number]],1)</f>
        <v>42217</v>
      </c>
      <c r="E95" s="2" t="str">
        <f>IF(All_India_Index_Upto_April23__13[[#This Row],[Date]]&lt;DATE(2020, 3, 1),"Pre-COVID","Post-COVID")</f>
        <v>Pre-COVID</v>
      </c>
      <c r="F95">
        <v>124.7</v>
      </c>
      <c r="G95">
        <v>131.30000000000001</v>
      </c>
      <c r="H95">
        <v>121.3</v>
      </c>
      <c r="I95">
        <v>128.80000000000001</v>
      </c>
      <c r="J95">
        <v>114</v>
      </c>
      <c r="K95">
        <v>134.19999999999999</v>
      </c>
      <c r="L95">
        <v>153.6</v>
      </c>
      <c r="M95">
        <v>137.9</v>
      </c>
      <c r="N95">
        <v>93.1</v>
      </c>
      <c r="O95">
        <v>123.9</v>
      </c>
      <c r="P95">
        <v>121.5</v>
      </c>
      <c r="Q95">
        <v>132.5</v>
      </c>
      <c r="R95">
        <v>129.80000000000001</v>
      </c>
      <c r="S95">
        <v>130.1</v>
      </c>
      <c r="T95">
        <v>129.5</v>
      </c>
      <c r="U95">
        <v>126.3</v>
      </c>
      <c r="V95">
        <v>129</v>
      </c>
      <c r="W95" s="3">
        <v>141</v>
      </c>
      <c r="X95">
        <v>123.8</v>
      </c>
      <c r="Y95">
        <v>123.7</v>
      </c>
      <c r="Z95">
        <v>121.1</v>
      </c>
      <c r="AA95">
        <v>113.6</v>
      </c>
      <c r="AB95">
        <v>118.5</v>
      </c>
      <c r="AC95">
        <v>123.6</v>
      </c>
      <c r="AD95">
        <v>112.5</v>
      </c>
      <c r="AE95">
        <v>118.2</v>
      </c>
      <c r="AF95">
        <v>126.1</v>
      </c>
      <c r="AG9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96" spans="1:33" hidden="1" x14ac:dyDescent="0.3">
      <c r="A96" t="s">
        <v>32</v>
      </c>
      <c r="B96">
        <v>2015</v>
      </c>
      <c r="C96" t="s">
        <v>40</v>
      </c>
      <c r="D96" s="10">
        <f>DATE(All_India_Index_Upto_April23__13[[#This Row],[Year]],All_India_Index_Upto_April23__13[[#This Row],[Month Number]],1)</f>
        <v>42217</v>
      </c>
      <c r="E96" s="2" t="str">
        <f>IF(All_India_Index_Upto_April23__13[[#This Row],[Date]]&lt;DATE(2020, 3, 1),"Pre-COVID","Post-COVID")</f>
        <v>Pre-COVID</v>
      </c>
      <c r="F96">
        <v>123.1</v>
      </c>
      <c r="G96">
        <v>131.69999999999999</v>
      </c>
      <c r="H96">
        <v>118.1</v>
      </c>
      <c r="I96">
        <v>128</v>
      </c>
      <c r="J96">
        <v>106.8</v>
      </c>
      <c r="K96">
        <v>130.1</v>
      </c>
      <c r="L96">
        <v>165.5</v>
      </c>
      <c r="M96">
        <v>156</v>
      </c>
      <c r="N96">
        <v>85.3</v>
      </c>
      <c r="O96">
        <v>132.69999999999999</v>
      </c>
      <c r="P96">
        <v>118.8</v>
      </c>
      <c r="Q96">
        <v>131.69999999999999</v>
      </c>
      <c r="R96">
        <v>131.1</v>
      </c>
      <c r="S96">
        <v>134.19999999999999</v>
      </c>
      <c r="T96">
        <v>123.7</v>
      </c>
      <c r="U96">
        <v>118.2</v>
      </c>
      <c r="V96">
        <v>122.9</v>
      </c>
      <c r="W96" s="3">
        <v>120.9</v>
      </c>
      <c r="X96">
        <v>115.3</v>
      </c>
      <c r="Y96">
        <v>120</v>
      </c>
      <c r="Z96">
        <v>116.6</v>
      </c>
      <c r="AA96">
        <v>109.9</v>
      </c>
      <c r="AB96">
        <v>117.2</v>
      </c>
      <c r="AC96">
        <v>126.2</v>
      </c>
      <c r="AD96">
        <v>112</v>
      </c>
      <c r="AE96">
        <v>116.2</v>
      </c>
      <c r="AF96">
        <v>123.2</v>
      </c>
      <c r="AG9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97" spans="1:33" hidden="1" x14ac:dyDescent="0.3">
      <c r="A97" t="s">
        <v>33</v>
      </c>
      <c r="B97">
        <v>2020</v>
      </c>
      <c r="C97" t="s">
        <v>42</v>
      </c>
      <c r="D97" s="10">
        <f>DATE(All_India_Index_Upto_April23__13[[#This Row],[Year]],All_India_Index_Upto_April23__13[[#This Row],[Month Number]],1)</f>
        <v>44105</v>
      </c>
      <c r="E97" s="2" t="str">
        <f>IF(All_India_Index_Upto_April23__13[[#This Row],[Date]]&lt;DATE(2020, 3, 1),"Pre-COVID","Post-COVID")</f>
        <v>Post-COVID</v>
      </c>
      <c r="F97">
        <v>147.5</v>
      </c>
      <c r="G97">
        <v>188.9</v>
      </c>
      <c r="H97">
        <v>161.4</v>
      </c>
      <c r="I97">
        <v>153.6</v>
      </c>
      <c r="J97">
        <v>140.1</v>
      </c>
      <c r="K97">
        <v>151.19999999999999</v>
      </c>
      <c r="L97">
        <v>209.2</v>
      </c>
      <c r="M97">
        <v>150.9</v>
      </c>
      <c r="N97">
        <v>116.2</v>
      </c>
      <c r="O97">
        <v>161</v>
      </c>
      <c r="P97">
        <v>144</v>
      </c>
      <c r="Q97">
        <v>163.19999999999999</v>
      </c>
      <c r="R97">
        <v>161.4</v>
      </c>
      <c r="S97">
        <v>184.3</v>
      </c>
      <c r="T97">
        <v>153.69999999999999</v>
      </c>
      <c r="U97">
        <v>144.6</v>
      </c>
      <c r="V97">
        <v>152.30000000000001</v>
      </c>
      <c r="W97" s="3">
        <v>156.5</v>
      </c>
      <c r="X97">
        <v>143.1</v>
      </c>
      <c r="Y97">
        <v>148.69999999999999</v>
      </c>
      <c r="Z97">
        <v>156.30000000000001</v>
      </c>
      <c r="AA97">
        <v>140.6</v>
      </c>
      <c r="AB97">
        <v>146.5</v>
      </c>
      <c r="AC97">
        <v>158.5</v>
      </c>
      <c r="AD97">
        <v>157</v>
      </c>
      <c r="AE97">
        <v>150.4</v>
      </c>
      <c r="AF97">
        <v>156.4</v>
      </c>
      <c r="AG9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98" spans="1:33" hidden="1" x14ac:dyDescent="0.3">
      <c r="A98" t="s">
        <v>30</v>
      </c>
      <c r="B98">
        <v>2015</v>
      </c>
      <c r="C98" t="s">
        <v>41</v>
      </c>
      <c r="D98" s="10">
        <f>DATE(All_India_Index_Upto_April23__13[[#This Row],[Year]],All_India_Index_Upto_April23__13[[#This Row],[Month Number]],1)</f>
        <v>42248</v>
      </c>
      <c r="E98" s="2" t="str">
        <f>IF(All_India_Index_Upto_April23__13[[#This Row],[Date]]&lt;DATE(2020, 3, 1),"Pre-COVID","Post-COVID")</f>
        <v>Pre-COVID</v>
      </c>
      <c r="F98">
        <v>125.1</v>
      </c>
      <c r="G98">
        <v>131.1</v>
      </c>
      <c r="H98">
        <v>120.7</v>
      </c>
      <c r="I98">
        <v>129.19999999999999</v>
      </c>
      <c r="J98">
        <v>114.7</v>
      </c>
      <c r="K98">
        <v>132.30000000000001</v>
      </c>
      <c r="L98">
        <v>158.9</v>
      </c>
      <c r="M98">
        <v>142.1</v>
      </c>
      <c r="N98">
        <v>92.5</v>
      </c>
      <c r="O98">
        <v>125.4</v>
      </c>
      <c r="P98">
        <v>121.9</v>
      </c>
      <c r="Q98">
        <v>132.69999999999999</v>
      </c>
      <c r="R98">
        <v>131</v>
      </c>
      <c r="S98">
        <v>131</v>
      </c>
      <c r="T98">
        <v>130.4</v>
      </c>
      <c r="U98">
        <v>126.8</v>
      </c>
      <c r="V98">
        <v>129.9</v>
      </c>
      <c r="W98" s="3">
        <v>141</v>
      </c>
      <c r="X98">
        <v>123.7</v>
      </c>
      <c r="Y98">
        <v>124.5</v>
      </c>
      <c r="Z98">
        <v>121.4</v>
      </c>
      <c r="AA98">
        <v>113.8</v>
      </c>
      <c r="AB98">
        <v>119.6</v>
      </c>
      <c r="AC98">
        <v>124.5</v>
      </c>
      <c r="AD98">
        <v>113.7</v>
      </c>
      <c r="AE98">
        <v>118.8</v>
      </c>
      <c r="AF98">
        <v>127</v>
      </c>
      <c r="AG9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99" spans="1:33" hidden="1" x14ac:dyDescent="0.3">
      <c r="A99" t="s">
        <v>32</v>
      </c>
      <c r="B99">
        <v>2015</v>
      </c>
      <c r="C99" t="s">
        <v>41</v>
      </c>
      <c r="D99" s="10">
        <f>DATE(All_India_Index_Upto_April23__13[[#This Row],[Year]],All_India_Index_Upto_April23__13[[#This Row],[Month Number]],1)</f>
        <v>42248</v>
      </c>
      <c r="E99" s="2" t="str">
        <f>IF(All_India_Index_Upto_April23__13[[#This Row],[Date]]&lt;DATE(2020, 3, 1),"Pre-COVID","Post-COVID")</f>
        <v>Pre-COVID</v>
      </c>
      <c r="F99">
        <v>123.4</v>
      </c>
      <c r="G99">
        <v>129</v>
      </c>
      <c r="H99">
        <v>115.6</v>
      </c>
      <c r="I99">
        <v>128.30000000000001</v>
      </c>
      <c r="J99">
        <v>107</v>
      </c>
      <c r="K99">
        <v>124</v>
      </c>
      <c r="L99">
        <v>168.5</v>
      </c>
      <c r="M99">
        <v>165.4</v>
      </c>
      <c r="N99">
        <v>86.3</v>
      </c>
      <c r="O99">
        <v>134.4</v>
      </c>
      <c r="P99">
        <v>119.1</v>
      </c>
      <c r="Q99">
        <v>132.30000000000001</v>
      </c>
      <c r="R99">
        <v>131.5</v>
      </c>
      <c r="S99">
        <v>134.69999999999999</v>
      </c>
      <c r="T99">
        <v>124</v>
      </c>
      <c r="U99">
        <v>118.6</v>
      </c>
      <c r="V99">
        <v>123.2</v>
      </c>
      <c r="W99" s="3">
        <v>121.6</v>
      </c>
      <c r="X99">
        <v>115.1</v>
      </c>
      <c r="Y99">
        <v>120.4</v>
      </c>
      <c r="Z99">
        <v>117.1</v>
      </c>
      <c r="AA99">
        <v>109.1</v>
      </c>
      <c r="AB99">
        <v>117.3</v>
      </c>
      <c r="AC99">
        <v>126.5</v>
      </c>
      <c r="AD99">
        <v>112.9</v>
      </c>
      <c r="AE99">
        <v>116.2</v>
      </c>
      <c r="AF99">
        <v>123.5</v>
      </c>
      <c r="AG9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00" spans="1:33" hidden="1" x14ac:dyDescent="0.3">
      <c r="A100" t="s">
        <v>33</v>
      </c>
      <c r="B100">
        <v>2020</v>
      </c>
      <c r="C100" t="s">
        <v>41</v>
      </c>
      <c r="D100" s="10">
        <f>DATE(All_India_Index_Upto_April23__13[[#This Row],[Year]],All_India_Index_Upto_April23__13[[#This Row],[Month Number]],1)</f>
        <v>44075</v>
      </c>
      <c r="E100" s="2" t="str">
        <f>IF(All_India_Index_Upto_April23__13[[#This Row],[Date]]&lt;DATE(2020, 3, 1),"Pre-COVID","Post-COVID")</f>
        <v>Post-COVID</v>
      </c>
      <c r="F100">
        <v>148.4</v>
      </c>
      <c r="G100">
        <v>187.1</v>
      </c>
      <c r="H100">
        <v>152.5</v>
      </c>
      <c r="I100">
        <v>153.6</v>
      </c>
      <c r="J100">
        <v>138.19999999999999</v>
      </c>
      <c r="K100">
        <v>150.9</v>
      </c>
      <c r="L100">
        <v>186.7</v>
      </c>
      <c r="M100">
        <v>149.80000000000001</v>
      </c>
      <c r="N100">
        <v>116.4</v>
      </c>
      <c r="O100">
        <v>160.30000000000001</v>
      </c>
      <c r="P100">
        <v>142.19999999999999</v>
      </c>
      <c r="Q100">
        <v>162.9</v>
      </c>
      <c r="R100">
        <v>158</v>
      </c>
      <c r="S100">
        <v>184.4</v>
      </c>
      <c r="T100">
        <v>153.4</v>
      </c>
      <c r="U100">
        <v>144.30000000000001</v>
      </c>
      <c r="V100">
        <v>152</v>
      </c>
      <c r="W100" s="3">
        <v>156.30000000000001</v>
      </c>
      <c r="X100">
        <v>142.9</v>
      </c>
      <c r="Y100">
        <v>148.69999999999999</v>
      </c>
      <c r="Z100">
        <v>155.6</v>
      </c>
      <c r="AA100">
        <v>139.6</v>
      </c>
      <c r="AB100">
        <v>146.6</v>
      </c>
      <c r="AC100">
        <v>157.5</v>
      </c>
      <c r="AD100">
        <v>158.4</v>
      </c>
      <c r="AE100">
        <v>150</v>
      </c>
      <c r="AF100">
        <v>154.69999999999999</v>
      </c>
      <c r="AG10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01" spans="1:33" hidden="1" x14ac:dyDescent="0.3">
      <c r="A101" t="s">
        <v>30</v>
      </c>
      <c r="B101">
        <v>2015</v>
      </c>
      <c r="C101" t="s">
        <v>42</v>
      </c>
      <c r="D101" s="10">
        <f>DATE(All_India_Index_Upto_April23__13[[#This Row],[Year]],All_India_Index_Upto_April23__13[[#This Row],[Month Number]],1)</f>
        <v>42278</v>
      </c>
      <c r="E101" s="2" t="str">
        <f>IF(All_India_Index_Upto_April23__13[[#This Row],[Date]]&lt;DATE(2020, 3, 1),"Pre-COVID","Post-COVID")</f>
        <v>Pre-COVID</v>
      </c>
      <c r="F101">
        <v>125.6</v>
      </c>
      <c r="G101">
        <v>130.4</v>
      </c>
      <c r="H101">
        <v>120.8</v>
      </c>
      <c r="I101">
        <v>129.4</v>
      </c>
      <c r="J101">
        <v>115.8</v>
      </c>
      <c r="K101">
        <v>133.19999999999999</v>
      </c>
      <c r="L101">
        <v>157.69999999999999</v>
      </c>
      <c r="M101">
        <v>154.19999999999999</v>
      </c>
      <c r="N101">
        <v>93.7</v>
      </c>
      <c r="O101">
        <v>126.6</v>
      </c>
      <c r="P101">
        <v>122.3</v>
      </c>
      <c r="Q101">
        <v>133.1</v>
      </c>
      <c r="R101">
        <v>131.80000000000001</v>
      </c>
      <c r="S101">
        <v>131.5</v>
      </c>
      <c r="T101">
        <v>131.1</v>
      </c>
      <c r="U101">
        <v>127.3</v>
      </c>
      <c r="V101">
        <v>130.6</v>
      </c>
      <c r="W101" s="3">
        <v>141</v>
      </c>
      <c r="X101">
        <v>124.4</v>
      </c>
      <c r="Y101">
        <v>125.1</v>
      </c>
      <c r="Z101">
        <v>122</v>
      </c>
      <c r="AA101">
        <v>113.8</v>
      </c>
      <c r="AB101">
        <v>120.1</v>
      </c>
      <c r="AC101">
        <v>125.1</v>
      </c>
      <c r="AD101">
        <v>114.2</v>
      </c>
      <c r="AE101">
        <v>119.2</v>
      </c>
      <c r="AF101">
        <v>127.7</v>
      </c>
      <c r="AG10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02" spans="1:33" hidden="1" x14ac:dyDescent="0.3">
      <c r="A102" t="s">
        <v>32</v>
      </c>
      <c r="B102">
        <v>2015</v>
      </c>
      <c r="C102" t="s">
        <v>42</v>
      </c>
      <c r="D102" s="10">
        <f>DATE(All_India_Index_Upto_April23__13[[#This Row],[Year]],All_India_Index_Upto_April23__13[[#This Row],[Month Number]],1)</f>
        <v>42278</v>
      </c>
      <c r="E102" s="2" t="str">
        <f>IF(All_India_Index_Upto_April23__13[[#This Row],[Date]]&lt;DATE(2020, 3, 1),"Pre-COVID","Post-COVID")</f>
        <v>Pre-COVID</v>
      </c>
      <c r="F102">
        <v>123.6</v>
      </c>
      <c r="G102">
        <v>128.6</v>
      </c>
      <c r="H102">
        <v>115.9</v>
      </c>
      <c r="I102">
        <v>128.5</v>
      </c>
      <c r="J102">
        <v>109</v>
      </c>
      <c r="K102">
        <v>124.1</v>
      </c>
      <c r="L102">
        <v>165.8</v>
      </c>
      <c r="M102">
        <v>187.2</v>
      </c>
      <c r="N102">
        <v>89.4</v>
      </c>
      <c r="O102">
        <v>135.80000000000001</v>
      </c>
      <c r="P102">
        <v>119.4</v>
      </c>
      <c r="Q102">
        <v>132.9</v>
      </c>
      <c r="R102">
        <v>132.6</v>
      </c>
      <c r="S102">
        <v>135.30000000000001</v>
      </c>
      <c r="T102">
        <v>124.4</v>
      </c>
      <c r="U102">
        <v>118.8</v>
      </c>
      <c r="V102">
        <v>123.6</v>
      </c>
      <c r="W102" s="3">
        <v>122.4</v>
      </c>
      <c r="X102">
        <v>114.9</v>
      </c>
      <c r="Y102">
        <v>120.7</v>
      </c>
      <c r="Z102">
        <v>117.7</v>
      </c>
      <c r="AA102">
        <v>109.3</v>
      </c>
      <c r="AB102">
        <v>117.7</v>
      </c>
      <c r="AC102">
        <v>126.5</v>
      </c>
      <c r="AD102">
        <v>113.5</v>
      </c>
      <c r="AE102">
        <v>116.5</v>
      </c>
      <c r="AF102">
        <v>124.2</v>
      </c>
      <c r="AG10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03" spans="1:33" hidden="1" x14ac:dyDescent="0.3">
      <c r="A103" t="s">
        <v>33</v>
      </c>
      <c r="B103">
        <v>2020</v>
      </c>
      <c r="C103" t="s">
        <v>40</v>
      </c>
      <c r="D103" s="10">
        <f>DATE(All_India_Index_Upto_April23__13[[#This Row],[Year]],All_India_Index_Upto_April23__13[[#This Row],[Month Number]],1)</f>
        <v>44044</v>
      </c>
      <c r="E103" s="2" t="str">
        <f>IF(All_India_Index_Upto_April23__13[[#This Row],[Date]]&lt;DATE(2020, 3, 1),"Pre-COVID","Post-COVID")</f>
        <v>Post-COVID</v>
      </c>
      <c r="F103">
        <v>148.9</v>
      </c>
      <c r="G103">
        <v>190.9</v>
      </c>
      <c r="H103">
        <v>150.80000000000001</v>
      </c>
      <c r="I103">
        <v>153.30000000000001</v>
      </c>
      <c r="J103">
        <v>137.4</v>
      </c>
      <c r="K103">
        <v>150.4</v>
      </c>
      <c r="L103">
        <v>178.1</v>
      </c>
      <c r="M103">
        <v>150.4</v>
      </c>
      <c r="N103">
        <v>115.1</v>
      </c>
      <c r="O103">
        <v>160</v>
      </c>
      <c r="P103">
        <v>140.6</v>
      </c>
      <c r="Q103">
        <v>162.30000000000001</v>
      </c>
      <c r="R103">
        <v>157</v>
      </c>
      <c r="S103">
        <v>182.6</v>
      </c>
      <c r="T103">
        <v>153.1</v>
      </c>
      <c r="U103">
        <v>143.4</v>
      </c>
      <c r="V103">
        <v>151.69999999999999</v>
      </c>
      <c r="W103" s="3">
        <v>155.5</v>
      </c>
      <c r="X103">
        <v>143</v>
      </c>
      <c r="Y103">
        <v>148.4</v>
      </c>
      <c r="Z103">
        <v>155</v>
      </c>
      <c r="AA103">
        <v>138.5</v>
      </c>
      <c r="AB103">
        <v>146</v>
      </c>
      <c r="AC103">
        <v>158.5</v>
      </c>
      <c r="AD103">
        <v>154.30000000000001</v>
      </c>
      <c r="AE103">
        <v>149</v>
      </c>
      <c r="AF103">
        <v>153.9</v>
      </c>
      <c r="AG10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04" spans="1:33" hidden="1" x14ac:dyDescent="0.3">
      <c r="A104" t="s">
        <v>30</v>
      </c>
      <c r="B104">
        <v>2015</v>
      </c>
      <c r="C104" t="s">
        <v>43</v>
      </c>
      <c r="D104" s="10">
        <f>DATE(All_India_Index_Upto_April23__13[[#This Row],[Year]],All_India_Index_Upto_April23__13[[#This Row],[Month Number]],1)</f>
        <v>42309</v>
      </c>
      <c r="E104" s="2" t="str">
        <f>IF(All_India_Index_Upto_April23__13[[#This Row],[Date]]&lt;DATE(2020, 3, 1),"Pre-COVID","Post-COVID")</f>
        <v>Pre-COVID</v>
      </c>
      <c r="F104">
        <v>126.1</v>
      </c>
      <c r="G104">
        <v>130.6</v>
      </c>
      <c r="H104">
        <v>121.7</v>
      </c>
      <c r="I104">
        <v>129.5</v>
      </c>
      <c r="J104">
        <v>117.8</v>
      </c>
      <c r="K104">
        <v>132.1</v>
      </c>
      <c r="L104">
        <v>155.19999999999999</v>
      </c>
      <c r="M104">
        <v>160.80000000000001</v>
      </c>
      <c r="N104">
        <v>94.5</v>
      </c>
      <c r="O104">
        <v>128.30000000000001</v>
      </c>
      <c r="P104">
        <v>123.1</v>
      </c>
      <c r="Q104">
        <v>134.19999999999999</v>
      </c>
      <c r="R104">
        <v>132.4</v>
      </c>
      <c r="S104">
        <v>132.19999999999999</v>
      </c>
      <c r="T104">
        <v>132.1</v>
      </c>
      <c r="U104">
        <v>128.19999999999999</v>
      </c>
      <c r="V104">
        <v>131.5</v>
      </c>
      <c r="W104" s="3">
        <v>141</v>
      </c>
      <c r="X104">
        <v>125.6</v>
      </c>
      <c r="Y104">
        <v>125.6</v>
      </c>
      <c r="Z104">
        <v>122.6</v>
      </c>
      <c r="AA104">
        <v>114</v>
      </c>
      <c r="AB104">
        <v>120.9</v>
      </c>
      <c r="AC104">
        <v>125.8</v>
      </c>
      <c r="AD104">
        <v>114.2</v>
      </c>
      <c r="AE104">
        <v>119.6</v>
      </c>
      <c r="AF104">
        <v>128.30000000000001</v>
      </c>
      <c r="AG10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05" spans="1:33" hidden="1" x14ac:dyDescent="0.3">
      <c r="A105" t="s">
        <v>32</v>
      </c>
      <c r="B105">
        <v>2015</v>
      </c>
      <c r="C105" t="s">
        <v>43</v>
      </c>
      <c r="D105" s="10">
        <f>DATE(All_India_Index_Upto_April23__13[[#This Row],[Year]],All_India_Index_Upto_April23__13[[#This Row],[Month Number]],1)</f>
        <v>42309</v>
      </c>
      <c r="E105" s="2" t="str">
        <f>IF(All_India_Index_Upto_April23__13[[#This Row],[Date]]&lt;DATE(2020, 3, 1),"Pre-COVID","Post-COVID")</f>
        <v>Pre-COVID</v>
      </c>
      <c r="F105">
        <v>124</v>
      </c>
      <c r="G105">
        <v>129.80000000000001</v>
      </c>
      <c r="H105">
        <v>121.5</v>
      </c>
      <c r="I105">
        <v>128.6</v>
      </c>
      <c r="J105">
        <v>110</v>
      </c>
      <c r="K105">
        <v>123.7</v>
      </c>
      <c r="L105">
        <v>164.6</v>
      </c>
      <c r="M105">
        <v>191.6</v>
      </c>
      <c r="N105">
        <v>90.8</v>
      </c>
      <c r="O105">
        <v>137.1</v>
      </c>
      <c r="P105">
        <v>119.8</v>
      </c>
      <c r="Q105">
        <v>133.69999999999999</v>
      </c>
      <c r="R105">
        <v>133.30000000000001</v>
      </c>
      <c r="S105">
        <v>137.6</v>
      </c>
      <c r="T105">
        <v>125</v>
      </c>
      <c r="U105">
        <v>119.3</v>
      </c>
      <c r="V105">
        <v>124.2</v>
      </c>
      <c r="W105" s="3">
        <v>122.9</v>
      </c>
      <c r="X105">
        <v>115.1</v>
      </c>
      <c r="Y105">
        <v>121</v>
      </c>
      <c r="Z105">
        <v>118.1</v>
      </c>
      <c r="AA105">
        <v>109.3</v>
      </c>
      <c r="AB105">
        <v>117.9</v>
      </c>
      <c r="AC105">
        <v>126.6</v>
      </c>
      <c r="AD105">
        <v>113.3</v>
      </c>
      <c r="AE105">
        <v>116.6</v>
      </c>
      <c r="AF105">
        <v>124.6</v>
      </c>
      <c r="AG10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06" spans="1:33" hidden="1" x14ac:dyDescent="0.3">
      <c r="A106" t="s">
        <v>33</v>
      </c>
      <c r="B106">
        <v>2020</v>
      </c>
      <c r="C106" t="s">
        <v>39</v>
      </c>
      <c r="D106" s="10">
        <f>DATE(All_India_Index_Upto_April23__13[[#This Row],[Year]],All_India_Index_Upto_April23__13[[#This Row],[Month Number]],1)</f>
        <v>44013</v>
      </c>
      <c r="E106" s="2" t="str">
        <f>IF(All_India_Index_Upto_April23__13[[#This Row],[Date]]&lt;DATE(2020, 3, 1),"Pre-COVID","Post-COVID")</f>
        <v>Post-COVID</v>
      </c>
      <c r="F106">
        <v>149.6</v>
      </c>
      <c r="G106">
        <v>192.7</v>
      </c>
      <c r="H106">
        <v>151.4</v>
      </c>
      <c r="I106">
        <v>153.30000000000001</v>
      </c>
      <c r="J106">
        <v>136.30000000000001</v>
      </c>
      <c r="K106">
        <v>147.19999999999999</v>
      </c>
      <c r="L106">
        <v>156.5</v>
      </c>
      <c r="M106">
        <v>150.9</v>
      </c>
      <c r="N106">
        <v>114.2</v>
      </c>
      <c r="O106">
        <v>159.5</v>
      </c>
      <c r="P106">
        <v>139.4</v>
      </c>
      <c r="Q106">
        <v>161.80000000000001</v>
      </c>
      <c r="R106">
        <v>154</v>
      </c>
      <c r="S106">
        <v>183.5</v>
      </c>
      <c r="T106">
        <v>152.5</v>
      </c>
      <c r="U106">
        <v>144.4</v>
      </c>
      <c r="V106">
        <v>151.4</v>
      </c>
      <c r="W106" s="3">
        <v>154.69999999999999</v>
      </c>
      <c r="X106">
        <v>141.9</v>
      </c>
      <c r="Y106">
        <v>146.4</v>
      </c>
      <c r="Z106">
        <v>154.4</v>
      </c>
      <c r="AA106">
        <v>135</v>
      </c>
      <c r="AB106">
        <v>148.30000000000001</v>
      </c>
      <c r="AC106">
        <v>156.4</v>
      </c>
      <c r="AD106">
        <v>151.6</v>
      </c>
      <c r="AE106">
        <v>147</v>
      </c>
      <c r="AF106">
        <v>151.80000000000001</v>
      </c>
      <c r="AG10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07" spans="1:33" hidden="1" x14ac:dyDescent="0.3">
      <c r="A107" t="s">
        <v>30</v>
      </c>
      <c r="B107">
        <v>2015</v>
      </c>
      <c r="C107" t="s">
        <v>44</v>
      </c>
      <c r="D107" s="10">
        <f>DATE(All_India_Index_Upto_April23__13[[#This Row],[Year]],All_India_Index_Upto_April23__13[[#This Row],[Month Number]],1)</f>
        <v>42339</v>
      </c>
      <c r="E107" s="2" t="str">
        <f>IF(All_India_Index_Upto_April23__13[[#This Row],[Date]]&lt;DATE(2020, 3, 1),"Pre-COVID","Post-COVID")</f>
        <v>Pre-COVID</v>
      </c>
      <c r="F107">
        <v>126.3</v>
      </c>
      <c r="G107">
        <v>131.30000000000001</v>
      </c>
      <c r="H107">
        <v>123.3</v>
      </c>
      <c r="I107">
        <v>129.80000000000001</v>
      </c>
      <c r="J107">
        <v>118.3</v>
      </c>
      <c r="K107">
        <v>131.6</v>
      </c>
      <c r="L107">
        <v>145.5</v>
      </c>
      <c r="M107">
        <v>162.1</v>
      </c>
      <c r="N107">
        <v>95.4</v>
      </c>
      <c r="O107">
        <v>128.9</v>
      </c>
      <c r="P107">
        <v>123.3</v>
      </c>
      <c r="Q107">
        <v>135.1</v>
      </c>
      <c r="R107">
        <v>131.4</v>
      </c>
      <c r="S107">
        <v>133.1</v>
      </c>
      <c r="T107">
        <v>132.5</v>
      </c>
      <c r="U107">
        <v>128.5</v>
      </c>
      <c r="V107">
        <v>131.9</v>
      </c>
      <c r="W107" s="3">
        <v>141</v>
      </c>
      <c r="X107">
        <v>125.7</v>
      </c>
      <c r="Y107">
        <v>126</v>
      </c>
      <c r="Z107">
        <v>123.1</v>
      </c>
      <c r="AA107">
        <v>114</v>
      </c>
      <c r="AB107">
        <v>121.6</v>
      </c>
      <c r="AC107">
        <v>125.6</v>
      </c>
      <c r="AD107">
        <v>114.1</v>
      </c>
      <c r="AE107">
        <v>119.8</v>
      </c>
      <c r="AF107">
        <v>127.9</v>
      </c>
      <c r="AG10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08" spans="1:33" hidden="1" x14ac:dyDescent="0.3">
      <c r="A108" t="s">
        <v>32</v>
      </c>
      <c r="B108">
        <v>2015</v>
      </c>
      <c r="C108" t="s">
        <v>44</v>
      </c>
      <c r="D108" s="10">
        <f>DATE(All_India_Index_Upto_April23__13[[#This Row],[Year]],All_India_Index_Upto_April23__13[[#This Row],[Month Number]],1)</f>
        <v>42339</v>
      </c>
      <c r="E108" s="2" t="str">
        <f>IF(All_India_Index_Upto_April23__13[[#This Row],[Date]]&lt;DATE(2020, 3, 1),"Pre-COVID","Post-COVID")</f>
        <v>Pre-COVID</v>
      </c>
      <c r="F108">
        <v>124.3</v>
      </c>
      <c r="G108">
        <v>131.69999999999999</v>
      </c>
      <c r="H108">
        <v>127.1</v>
      </c>
      <c r="I108">
        <v>128.6</v>
      </c>
      <c r="J108">
        <v>110</v>
      </c>
      <c r="K108">
        <v>120.8</v>
      </c>
      <c r="L108">
        <v>149</v>
      </c>
      <c r="M108">
        <v>190.1</v>
      </c>
      <c r="N108">
        <v>92.7</v>
      </c>
      <c r="O108">
        <v>138.6</v>
      </c>
      <c r="P108">
        <v>120.2</v>
      </c>
      <c r="Q108">
        <v>134.19999999999999</v>
      </c>
      <c r="R108">
        <v>131.5</v>
      </c>
      <c r="S108">
        <v>138.19999999999999</v>
      </c>
      <c r="T108">
        <v>125.4</v>
      </c>
      <c r="U108">
        <v>119.5</v>
      </c>
      <c r="V108">
        <v>124.5</v>
      </c>
      <c r="W108" s="3">
        <v>122.4</v>
      </c>
      <c r="X108">
        <v>116</v>
      </c>
      <c r="Y108">
        <v>121</v>
      </c>
      <c r="Z108">
        <v>118.6</v>
      </c>
      <c r="AA108">
        <v>109.3</v>
      </c>
      <c r="AB108">
        <v>118.1</v>
      </c>
      <c r="AC108">
        <v>126.6</v>
      </c>
      <c r="AD108">
        <v>113.2</v>
      </c>
      <c r="AE108">
        <v>116.7</v>
      </c>
      <c r="AF108">
        <v>124</v>
      </c>
      <c r="AG10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09" spans="1:33" hidden="1" x14ac:dyDescent="0.3">
      <c r="A109" t="s">
        <v>33</v>
      </c>
      <c r="B109">
        <v>2020</v>
      </c>
      <c r="C109" t="s">
        <v>38</v>
      </c>
      <c r="D109" s="10">
        <f>DATE(All_India_Index_Upto_April23__13[[#This Row],[Year]],All_India_Index_Upto_April23__13[[#This Row],[Month Number]],1)</f>
        <v>43983</v>
      </c>
      <c r="E109" s="2" t="str">
        <f>IF(All_India_Index_Upto_April23__13[[#This Row],[Date]]&lt;DATE(2020, 3, 1),"Pre-COVID","Post-COVID")</f>
        <v>Post-COVID</v>
      </c>
      <c r="F109">
        <v>149.6</v>
      </c>
      <c r="G109">
        <v>192.7</v>
      </c>
      <c r="H109">
        <v>151.4</v>
      </c>
      <c r="I109">
        <v>153.30000000000001</v>
      </c>
      <c r="J109">
        <v>136.30000000000001</v>
      </c>
      <c r="K109">
        <v>147.19999999999999</v>
      </c>
      <c r="L109">
        <v>156.5</v>
      </c>
      <c r="M109">
        <v>150.9</v>
      </c>
      <c r="N109">
        <v>114.2</v>
      </c>
      <c r="O109">
        <v>159.5</v>
      </c>
      <c r="P109">
        <v>139.4</v>
      </c>
      <c r="Q109">
        <v>161.80000000000001</v>
      </c>
      <c r="R109">
        <v>154</v>
      </c>
      <c r="S109">
        <v>183.5</v>
      </c>
      <c r="T109">
        <v>152.5</v>
      </c>
      <c r="U109">
        <v>144.4</v>
      </c>
      <c r="V109">
        <v>151.4</v>
      </c>
      <c r="W109" s="3">
        <v>154.69999999999999</v>
      </c>
      <c r="X109">
        <v>141.9</v>
      </c>
      <c r="Y109">
        <v>146.4</v>
      </c>
      <c r="Z109">
        <v>154.4</v>
      </c>
      <c r="AA109">
        <v>135</v>
      </c>
      <c r="AB109">
        <v>148.30000000000001</v>
      </c>
      <c r="AC109">
        <v>156.4</v>
      </c>
      <c r="AD109">
        <v>151.6</v>
      </c>
      <c r="AE109">
        <v>147</v>
      </c>
      <c r="AF109">
        <v>151.80000000000001</v>
      </c>
      <c r="AG10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10" spans="1:33" hidden="1" x14ac:dyDescent="0.3">
      <c r="A110" t="s">
        <v>30</v>
      </c>
      <c r="B110">
        <v>2016</v>
      </c>
      <c r="C110" t="s">
        <v>31</v>
      </c>
      <c r="D110" s="10">
        <f>DATE(All_India_Index_Upto_April23__13[[#This Row],[Year]],All_India_Index_Upto_April23__13[[#This Row],[Month Number]],1)</f>
        <v>42370</v>
      </c>
      <c r="E110" s="2" t="str">
        <f>IF(All_India_Index_Upto_April23__13[[#This Row],[Date]]&lt;DATE(2020, 3, 1),"Pre-COVID","Post-COVID")</f>
        <v>Pre-COVID</v>
      </c>
      <c r="F110">
        <v>126.8</v>
      </c>
      <c r="G110">
        <v>133.19999999999999</v>
      </c>
      <c r="H110">
        <v>126.5</v>
      </c>
      <c r="I110">
        <v>130.30000000000001</v>
      </c>
      <c r="J110">
        <v>118.9</v>
      </c>
      <c r="K110">
        <v>131.6</v>
      </c>
      <c r="L110">
        <v>140.1</v>
      </c>
      <c r="M110">
        <v>163.80000000000001</v>
      </c>
      <c r="N110">
        <v>97.7</v>
      </c>
      <c r="O110">
        <v>129.6</v>
      </c>
      <c r="P110">
        <v>124.3</v>
      </c>
      <c r="Q110">
        <v>135.9</v>
      </c>
      <c r="R110">
        <v>131.4</v>
      </c>
      <c r="S110">
        <v>133.6</v>
      </c>
      <c r="T110">
        <v>133.19999999999999</v>
      </c>
      <c r="U110">
        <v>128.9</v>
      </c>
      <c r="V110">
        <v>132.6</v>
      </c>
      <c r="W110" s="3">
        <v>141</v>
      </c>
      <c r="X110">
        <v>126.2</v>
      </c>
      <c r="Y110">
        <v>126.6</v>
      </c>
      <c r="Z110">
        <v>123.7</v>
      </c>
      <c r="AA110">
        <v>113.6</v>
      </c>
      <c r="AB110">
        <v>121.4</v>
      </c>
      <c r="AC110">
        <v>126.2</v>
      </c>
      <c r="AD110">
        <v>114.9</v>
      </c>
      <c r="AE110">
        <v>120.1</v>
      </c>
      <c r="AF110">
        <v>128.1</v>
      </c>
      <c r="AG11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11" spans="1:33" hidden="1" x14ac:dyDescent="0.3">
      <c r="A111" t="s">
        <v>32</v>
      </c>
      <c r="B111">
        <v>2016</v>
      </c>
      <c r="C111" t="s">
        <v>31</v>
      </c>
      <c r="D111" s="10">
        <f>DATE(All_India_Index_Upto_April23__13[[#This Row],[Year]],All_India_Index_Upto_April23__13[[#This Row],[Month Number]],1)</f>
        <v>42370</v>
      </c>
      <c r="E111" s="2" t="str">
        <f>IF(All_India_Index_Upto_April23__13[[#This Row],[Date]]&lt;DATE(2020, 3, 1),"Pre-COVID","Post-COVID")</f>
        <v>Pre-COVID</v>
      </c>
      <c r="F111">
        <v>124.7</v>
      </c>
      <c r="G111">
        <v>135.9</v>
      </c>
      <c r="H111">
        <v>132</v>
      </c>
      <c r="I111">
        <v>129.19999999999999</v>
      </c>
      <c r="J111">
        <v>109.7</v>
      </c>
      <c r="K111">
        <v>119</v>
      </c>
      <c r="L111">
        <v>144.1</v>
      </c>
      <c r="M111">
        <v>184.2</v>
      </c>
      <c r="N111">
        <v>96.7</v>
      </c>
      <c r="O111">
        <v>139.5</v>
      </c>
      <c r="P111">
        <v>120.5</v>
      </c>
      <c r="Q111">
        <v>134.69999999999999</v>
      </c>
      <c r="R111">
        <v>131.19999999999999</v>
      </c>
      <c r="S111">
        <v>139.5</v>
      </c>
      <c r="T111">
        <v>125.8</v>
      </c>
      <c r="U111">
        <v>119.8</v>
      </c>
      <c r="V111">
        <v>124.9</v>
      </c>
      <c r="W111" s="3">
        <v>123.4</v>
      </c>
      <c r="X111">
        <v>116.9</v>
      </c>
      <c r="Y111">
        <v>121.6</v>
      </c>
      <c r="Z111">
        <v>119.1</v>
      </c>
      <c r="AA111">
        <v>108.9</v>
      </c>
      <c r="AB111">
        <v>118.5</v>
      </c>
      <c r="AC111">
        <v>126.4</v>
      </c>
      <c r="AD111">
        <v>114</v>
      </c>
      <c r="AE111">
        <v>116.8</v>
      </c>
      <c r="AF111">
        <v>124.2</v>
      </c>
      <c r="AG11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12" spans="1:33" hidden="1" x14ac:dyDescent="0.3">
      <c r="A112" t="s">
        <v>33</v>
      </c>
      <c r="B112">
        <v>2020</v>
      </c>
      <c r="C112" t="s">
        <v>37</v>
      </c>
      <c r="D112" s="10">
        <f>DATE(All_India_Index_Upto_April23__13[[#This Row],[Year]],All_India_Index_Upto_April23__13[[#This Row],[Month Number]],1)</f>
        <v>43952</v>
      </c>
      <c r="E112" s="2" t="str">
        <f>IF(All_India_Index_Upto_April23__13[[#This Row],[Date]]&lt;DATE(2020, 3, 1),"Pre-COVID","Post-COVID")</f>
        <v>Post-COVID</v>
      </c>
      <c r="F112" s="8">
        <f>VALUE('Missing Values Handled'!$G$8)</f>
        <v>135.9</v>
      </c>
      <c r="G112" s="8">
        <f>'Missing Values Handled'!$H$8</f>
        <v>144.19999999999999</v>
      </c>
      <c r="H112" s="8">
        <f>'Missing Values Handled'!$I$8</f>
        <v>135.5</v>
      </c>
      <c r="I112" s="8">
        <f>'Missing Values Handled'!J$8</f>
        <v>144.19999999999999</v>
      </c>
      <c r="J112" s="8">
        <f>'Missing Values Handled'!K$8</f>
        <v>135.5</v>
      </c>
      <c r="K112" s="8">
        <f>'Missing Values Handled'!L$8</f>
        <v>141</v>
      </c>
      <c r="L112" s="8">
        <f>'Missing Values Handled'!M$8</f>
        <v>135.5</v>
      </c>
      <c r="M112" s="8">
        <f>'Missing Values Handled'!N$8</f>
        <v>141</v>
      </c>
      <c r="N112" s="8">
        <f>'Missing Values Handled'!O$8</f>
        <v>120.5</v>
      </c>
      <c r="O112" s="8">
        <f>'Missing Values Handled'!P$8</f>
        <v>141</v>
      </c>
      <c r="P112" s="8">
        <f>'Missing Values Handled'!Q$8</f>
        <v>144.19999999999999</v>
      </c>
      <c r="Q112" s="8">
        <f>'Missing Values Handled'!R$8</f>
        <v>135.5</v>
      </c>
      <c r="R112" s="8">
        <f>'Missing Values Handled'!S$8</f>
        <v>141</v>
      </c>
      <c r="S112" s="8">
        <f>'Missing Values Handled'!T$8</f>
        <v>144.19999999999999</v>
      </c>
      <c r="T112" s="8">
        <f>'Missing Values Handled'!U$8</f>
        <v>135.5</v>
      </c>
      <c r="U112" s="8">
        <f>'Missing Values Handled'!V$8</f>
        <v>141</v>
      </c>
      <c r="V112" s="8">
        <f>'Missing Values Handled'!W$8</f>
        <v>135.5</v>
      </c>
      <c r="W112" s="9">
        <v>141</v>
      </c>
      <c r="X112" s="8">
        <f>'Missing Values Handled'!Y$8</f>
        <v>120.5</v>
      </c>
      <c r="Y112" s="8">
        <f>'Missing Values Handled'!Z$8</f>
        <v>144.19999999999999</v>
      </c>
      <c r="Z112" s="8">
        <f>'Missing Values Handled'!AA$8</f>
        <v>135.5</v>
      </c>
      <c r="AA112" s="8">
        <f>'Missing Values Handled'!AB$8</f>
        <v>141</v>
      </c>
      <c r="AB112" s="8">
        <f>'Missing Values Handled'!AC$8</f>
        <v>135.5</v>
      </c>
      <c r="AC112" s="8">
        <f>'Missing Values Handled'!AD$8</f>
        <v>141</v>
      </c>
      <c r="AD112" s="8">
        <f>'Missing Values Handled'!AE$8</f>
        <v>144.19999999999999</v>
      </c>
      <c r="AE112" s="8">
        <f>'Missing Values Handled'!AF$8</f>
        <v>135.5</v>
      </c>
      <c r="AF112" s="8">
        <f>'Missing Values Handled'!AG$8</f>
        <v>141</v>
      </c>
      <c r="AG11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13" spans="1:33" hidden="1" x14ac:dyDescent="0.3">
      <c r="A113" t="s">
        <v>30</v>
      </c>
      <c r="B113">
        <v>2016</v>
      </c>
      <c r="C113" t="s">
        <v>34</v>
      </c>
      <c r="D113" s="10">
        <f>DATE(All_India_Index_Upto_April23__13[[#This Row],[Year]],All_India_Index_Upto_April23__13[[#This Row],[Month Number]],1)</f>
        <v>42401</v>
      </c>
      <c r="E113" s="2" t="str">
        <f>IF(All_India_Index_Upto_April23__13[[#This Row],[Date]]&lt;DATE(2020, 3, 1),"Pre-COVID","Post-COVID")</f>
        <v>Pre-COVID</v>
      </c>
      <c r="F113">
        <v>127.1</v>
      </c>
      <c r="G113">
        <v>133.69999999999999</v>
      </c>
      <c r="H113">
        <v>127.7</v>
      </c>
      <c r="I113">
        <v>130.69999999999999</v>
      </c>
      <c r="J113">
        <v>118.5</v>
      </c>
      <c r="K113">
        <v>130.4</v>
      </c>
      <c r="L113">
        <v>130.9</v>
      </c>
      <c r="M113">
        <v>162.80000000000001</v>
      </c>
      <c r="N113">
        <v>98.7</v>
      </c>
      <c r="O113">
        <v>130.6</v>
      </c>
      <c r="P113">
        <v>124.8</v>
      </c>
      <c r="Q113">
        <v>136.4</v>
      </c>
      <c r="R113">
        <v>130.30000000000001</v>
      </c>
      <c r="S113">
        <v>134.4</v>
      </c>
      <c r="T113">
        <v>133.9</v>
      </c>
      <c r="U113">
        <v>129.80000000000001</v>
      </c>
      <c r="V113">
        <v>133.4</v>
      </c>
      <c r="W113" s="3">
        <v>141</v>
      </c>
      <c r="X113">
        <v>127.5</v>
      </c>
      <c r="Y113">
        <v>127.1</v>
      </c>
      <c r="Z113">
        <v>124.3</v>
      </c>
      <c r="AA113">
        <v>113.9</v>
      </c>
      <c r="AB113">
        <v>122.3</v>
      </c>
      <c r="AC113">
        <v>127.1</v>
      </c>
      <c r="AD113">
        <v>116.8</v>
      </c>
      <c r="AE113">
        <v>120.9</v>
      </c>
      <c r="AF113">
        <v>127.9</v>
      </c>
      <c r="AG11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14" spans="1:33" hidden="1" x14ac:dyDescent="0.3">
      <c r="A114" t="s">
        <v>32</v>
      </c>
      <c r="B114">
        <v>2016</v>
      </c>
      <c r="C114" t="s">
        <v>34</v>
      </c>
      <c r="D114" s="10">
        <f>DATE(All_India_Index_Upto_April23__13[[#This Row],[Year]],All_India_Index_Upto_April23__13[[#This Row],[Month Number]],1)</f>
        <v>42401</v>
      </c>
      <c r="E114" s="2" t="str">
        <f>IF(All_India_Index_Upto_April23__13[[#This Row],[Date]]&lt;DATE(2020, 3, 1),"Pre-COVID","Post-COVID")</f>
        <v>Pre-COVID</v>
      </c>
      <c r="F114">
        <v>124.8</v>
      </c>
      <c r="G114">
        <v>135.1</v>
      </c>
      <c r="H114">
        <v>130.30000000000001</v>
      </c>
      <c r="I114">
        <v>129.6</v>
      </c>
      <c r="J114">
        <v>108.4</v>
      </c>
      <c r="K114">
        <v>118.6</v>
      </c>
      <c r="L114">
        <v>129.19999999999999</v>
      </c>
      <c r="M114">
        <v>176.4</v>
      </c>
      <c r="N114">
        <v>99.1</v>
      </c>
      <c r="O114">
        <v>139.69999999999999</v>
      </c>
      <c r="P114">
        <v>120.6</v>
      </c>
      <c r="Q114">
        <v>135.19999999999999</v>
      </c>
      <c r="R114">
        <v>129.1</v>
      </c>
      <c r="S114">
        <v>140</v>
      </c>
      <c r="T114">
        <v>126.2</v>
      </c>
      <c r="U114">
        <v>120.1</v>
      </c>
      <c r="V114">
        <v>125.3</v>
      </c>
      <c r="W114" s="3">
        <v>124.4</v>
      </c>
      <c r="X114">
        <v>116</v>
      </c>
      <c r="Y114">
        <v>121.8</v>
      </c>
      <c r="Z114">
        <v>119.5</v>
      </c>
      <c r="AA114">
        <v>109.1</v>
      </c>
      <c r="AB114">
        <v>118.8</v>
      </c>
      <c r="AC114">
        <v>126.3</v>
      </c>
      <c r="AD114">
        <v>116.2</v>
      </c>
      <c r="AE114">
        <v>117.2</v>
      </c>
      <c r="AF114">
        <v>123.8</v>
      </c>
      <c r="AG11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15" spans="1:33" hidden="1" x14ac:dyDescent="0.3">
      <c r="A115" t="s">
        <v>33</v>
      </c>
      <c r="B115">
        <v>2020</v>
      </c>
      <c r="C115" t="s">
        <v>36</v>
      </c>
      <c r="D115" s="10">
        <f>DATE(All_India_Index_Upto_April23__13[[#This Row],[Year]],All_India_Index_Upto_April23__13[[#This Row],[Month Number]],1)</f>
        <v>43922</v>
      </c>
      <c r="E115" s="2" t="str">
        <f>IF(All_India_Index_Upto_April23__13[[#This Row],[Date]]&lt;DATE(2020, 3, 1),"Pre-COVID","Post-COVID")</f>
        <v>Post-COVID</v>
      </c>
      <c r="F115">
        <v>148.69999999999999</v>
      </c>
      <c r="G115" s="8">
        <f>'Missing Values Handled'!$H$8</f>
        <v>144.19999999999999</v>
      </c>
      <c r="H115">
        <v>148.80000000000001</v>
      </c>
      <c r="I115">
        <v>155.6</v>
      </c>
      <c r="J115">
        <v>135.1</v>
      </c>
      <c r="K115">
        <v>149.9</v>
      </c>
      <c r="L115">
        <v>168.6</v>
      </c>
      <c r="M115">
        <v>150.4</v>
      </c>
      <c r="N115">
        <v>120.3</v>
      </c>
      <c r="O115">
        <v>157.1</v>
      </c>
      <c r="P115">
        <v>136.80000000000001</v>
      </c>
      <c r="Q115" s="8">
        <f>'Missing Values Handled'!R$8</f>
        <v>135.5</v>
      </c>
      <c r="R115">
        <v>151.4</v>
      </c>
      <c r="S115" s="8">
        <f>'Missing Values Handled'!T$8</f>
        <v>144.19999999999999</v>
      </c>
      <c r="T115" s="8">
        <f>'Missing Values Handled'!U$8</f>
        <v>135.5</v>
      </c>
      <c r="U115" s="8">
        <f>'Missing Values Handled'!V$8</f>
        <v>141</v>
      </c>
      <c r="V115" s="8">
        <f>'Missing Values Handled'!W$8</f>
        <v>135.5</v>
      </c>
      <c r="W115" s="3">
        <v>155.6</v>
      </c>
      <c r="X115">
        <v>144.1</v>
      </c>
      <c r="Y115" s="8">
        <f>'Missing Values Handled'!Z$8</f>
        <v>144.19999999999999</v>
      </c>
      <c r="Z115">
        <v>150.69999999999999</v>
      </c>
      <c r="AA115" s="8">
        <f>'Missing Values Handled'!AB$8</f>
        <v>141</v>
      </c>
      <c r="AB115" s="8">
        <f>'Missing Values Handled'!AC$8</f>
        <v>135.5</v>
      </c>
      <c r="AC115" s="8">
        <f>'Missing Values Handled'!AD$8</f>
        <v>141</v>
      </c>
      <c r="AD115" s="8">
        <f>'Missing Values Handled'!AE$8</f>
        <v>144.19999999999999</v>
      </c>
      <c r="AE115" s="8">
        <f>'Missing Values Handled'!AF$8</f>
        <v>135.5</v>
      </c>
      <c r="AF115" s="8">
        <f>'Missing Values Handled'!AG$8</f>
        <v>141</v>
      </c>
      <c r="AG11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16" spans="1:33" hidden="1" x14ac:dyDescent="0.3">
      <c r="A116" t="s">
        <v>30</v>
      </c>
      <c r="B116">
        <v>2016</v>
      </c>
      <c r="C116" t="s">
        <v>35</v>
      </c>
      <c r="D116" s="10">
        <f>DATE(All_India_Index_Upto_April23__13[[#This Row],[Year]],All_India_Index_Upto_April23__13[[#This Row],[Month Number]],1)</f>
        <v>42430</v>
      </c>
      <c r="E116" s="2" t="str">
        <f>IF(All_India_Index_Upto_April23__13[[#This Row],[Date]]&lt;DATE(2020, 3, 1),"Pre-COVID","Post-COVID")</f>
        <v>Pre-COVID</v>
      </c>
      <c r="F116">
        <v>127.3</v>
      </c>
      <c r="G116">
        <v>134.4</v>
      </c>
      <c r="H116">
        <v>125.1</v>
      </c>
      <c r="I116">
        <v>130.5</v>
      </c>
      <c r="J116">
        <v>118.3</v>
      </c>
      <c r="K116">
        <v>131.69999999999999</v>
      </c>
      <c r="L116">
        <v>130.69999999999999</v>
      </c>
      <c r="M116">
        <v>161.19999999999999</v>
      </c>
      <c r="N116">
        <v>100.4</v>
      </c>
      <c r="O116">
        <v>130.80000000000001</v>
      </c>
      <c r="P116">
        <v>124.9</v>
      </c>
      <c r="Q116">
        <v>137</v>
      </c>
      <c r="R116">
        <v>130.4</v>
      </c>
      <c r="S116">
        <v>135</v>
      </c>
      <c r="T116">
        <v>134.4</v>
      </c>
      <c r="U116">
        <v>130.19999999999999</v>
      </c>
      <c r="V116">
        <v>133.80000000000001</v>
      </c>
      <c r="W116" s="3">
        <v>141</v>
      </c>
      <c r="X116">
        <v>127</v>
      </c>
      <c r="Y116">
        <v>127.7</v>
      </c>
      <c r="Z116">
        <v>124.8</v>
      </c>
      <c r="AA116">
        <v>113.6</v>
      </c>
      <c r="AB116">
        <v>122.5</v>
      </c>
      <c r="AC116">
        <v>127.5</v>
      </c>
      <c r="AD116">
        <v>117.4</v>
      </c>
      <c r="AE116">
        <v>121.1</v>
      </c>
      <c r="AF116">
        <v>128</v>
      </c>
      <c r="AG11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17" spans="1:33" hidden="1" x14ac:dyDescent="0.3">
      <c r="A117" t="s">
        <v>32</v>
      </c>
      <c r="B117">
        <v>2016</v>
      </c>
      <c r="C117" t="s">
        <v>35</v>
      </c>
      <c r="D117" s="10">
        <f>DATE(All_India_Index_Upto_April23__13[[#This Row],[Year]],All_India_Index_Upto_April23__13[[#This Row],[Month Number]],1)</f>
        <v>42430</v>
      </c>
      <c r="E117" s="2" t="str">
        <f>IF(All_India_Index_Upto_April23__13[[#This Row],[Date]]&lt;DATE(2020, 3, 1),"Pre-COVID","Post-COVID")</f>
        <v>Pre-COVID</v>
      </c>
      <c r="F117">
        <v>124.8</v>
      </c>
      <c r="G117">
        <v>136.30000000000001</v>
      </c>
      <c r="H117">
        <v>123.7</v>
      </c>
      <c r="I117">
        <v>129.69999999999999</v>
      </c>
      <c r="J117">
        <v>107.9</v>
      </c>
      <c r="K117">
        <v>119.9</v>
      </c>
      <c r="L117">
        <v>128.1</v>
      </c>
      <c r="M117">
        <v>170.3</v>
      </c>
      <c r="N117">
        <v>101.8</v>
      </c>
      <c r="O117">
        <v>140.1</v>
      </c>
      <c r="P117">
        <v>120.7</v>
      </c>
      <c r="Q117">
        <v>135.4</v>
      </c>
      <c r="R117">
        <v>128.9</v>
      </c>
      <c r="S117">
        <v>140.6</v>
      </c>
      <c r="T117">
        <v>126.4</v>
      </c>
      <c r="U117">
        <v>120.3</v>
      </c>
      <c r="V117">
        <v>125.5</v>
      </c>
      <c r="W117" s="3">
        <v>124.9</v>
      </c>
      <c r="X117">
        <v>114.8</v>
      </c>
      <c r="Y117">
        <v>122.3</v>
      </c>
      <c r="Z117">
        <v>119.7</v>
      </c>
      <c r="AA117">
        <v>108.5</v>
      </c>
      <c r="AB117">
        <v>119.1</v>
      </c>
      <c r="AC117">
        <v>126.4</v>
      </c>
      <c r="AD117">
        <v>117.1</v>
      </c>
      <c r="AE117">
        <v>117.3</v>
      </c>
      <c r="AF117">
        <v>123.8</v>
      </c>
      <c r="AG11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18" spans="1:33" hidden="1" x14ac:dyDescent="0.3">
      <c r="A118" t="s">
        <v>33</v>
      </c>
      <c r="B118">
        <v>2020</v>
      </c>
      <c r="C118" t="s">
        <v>35</v>
      </c>
      <c r="D118" s="10">
        <f>DATE(All_India_Index_Upto_April23__13[[#This Row],[Year]],All_India_Index_Upto_April23__13[[#This Row],[Month Number]],1)</f>
        <v>43891</v>
      </c>
      <c r="E118" s="2" t="str">
        <f>IF(All_India_Index_Upto_April23__13[[#This Row],[Date]]&lt;DATE(2020, 3, 1),"Pre-COVID","Post-COVID")</f>
        <v>Post-COVID</v>
      </c>
      <c r="F118">
        <v>145.1</v>
      </c>
      <c r="G118">
        <v>167</v>
      </c>
      <c r="H118">
        <v>148.1</v>
      </c>
      <c r="I118">
        <v>151.5</v>
      </c>
      <c r="J118">
        <v>131.19999999999999</v>
      </c>
      <c r="K118">
        <v>142.5</v>
      </c>
      <c r="L118">
        <v>157.30000000000001</v>
      </c>
      <c r="M118">
        <v>141.1</v>
      </c>
      <c r="N118">
        <v>113.2</v>
      </c>
      <c r="O118">
        <v>153.19999999999999</v>
      </c>
      <c r="P118">
        <v>136.69999999999999</v>
      </c>
      <c r="Q118">
        <v>159.6</v>
      </c>
      <c r="R118">
        <v>148.9</v>
      </c>
      <c r="S118">
        <v>171.2</v>
      </c>
      <c r="T118">
        <v>151.19999999999999</v>
      </c>
      <c r="U118">
        <v>141.9</v>
      </c>
      <c r="V118">
        <v>149.80000000000001</v>
      </c>
      <c r="W118" s="3">
        <v>154.5</v>
      </c>
      <c r="X118">
        <v>148.9</v>
      </c>
      <c r="Y118">
        <v>146.4</v>
      </c>
      <c r="Z118">
        <v>152.30000000000001</v>
      </c>
      <c r="AA118">
        <v>129.9</v>
      </c>
      <c r="AB118">
        <v>143.69999999999999</v>
      </c>
      <c r="AC118">
        <v>156.1</v>
      </c>
      <c r="AD118">
        <v>145.19999999999999</v>
      </c>
      <c r="AE118">
        <v>143.80000000000001</v>
      </c>
      <c r="AF118">
        <v>148.6</v>
      </c>
      <c r="AG11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19" spans="1:33" hidden="1" x14ac:dyDescent="0.3">
      <c r="A119" t="s">
        <v>30</v>
      </c>
      <c r="B119">
        <v>2016</v>
      </c>
      <c r="C119" t="s">
        <v>36</v>
      </c>
      <c r="D119" s="10">
        <f>DATE(All_India_Index_Upto_April23__13[[#This Row],[Year]],All_India_Index_Upto_April23__13[[#This Row],[Month Number]],1)</f>
        <v>42461</v>
      </c>
      <c r="E119" s="2" t="str">
        <f>IF(All_India_Index_Upto_April23__13[[#This Row],[Date]]&lt;DATE(2020, 3, 1),"Pre-COVID","Post-COVID")</f>
        <v>Pre-COVID</v>
      </c>
      <c r="F119">
        <v>127.4</v>
      </c>
      <c r="G119">
        <v>135.4</v>
      </c>
      <c r="H119">
        <v>123.4</v>
      </c>
      <c r="I119">
        <v>131.30000000000001</v>
      </c>
      <c r="J119">
        <v>118.2</v>
      </c>
      <c r="K119">
        <v>138.1</v>
      </c>
      <c r="L119">
        <v>134.1</v>
      </c>
      <c r="M119">
        <v>162.69999999999999</v>
      </c>
      <c r="N119">
        <v>105</v>
      </c>
      <c r="O119">
        <v>131.4</v>
      </c>
      <c r="P119">
        <v>125.4</v>
      </c>
      <c r="Q119">
        <v>137.4</v>
      </c>
      <c r="R119">
        <v>131.80000000000001</v>
      </c>
      <c r="S119">
        <v>135.5</v>
      </c>
      <c r="T119">
        <v>135</v>
      </c>
      <c r="U119">
        <v>130.6</v>
      </c>
      <c r="V119">
        <v>134.4</v>
      </c>
      <c r="W119" s="3">
        <v>141</v>
      </c>
      <c r="X119">
        <v>127</v>
      </c>
      <c r="Y119">
        <v>128</v>
      </c>
      <c r="Z119">
        <v>125.2</v>
      </c>
      <c r="AA119">
        <v>114.4</v>
      </c>
      <c r="AB119">
        <v>123.2</v>
      </c>
      <c r="AC119">
        <v>127.9</v>
      </c>
      <c r="AD119">
        <v>118.4</v>
      </c>
      <c r="AE119">
        <v>121.7</v>
      </c>
      <c r="AF119">
        <v>129</v>
      </c>
      <c r="AG11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20" spans="1:33" hidden="1" x14ac:dyDescent="0.3">
      <c r="A120" t="s">
        <v>32</v>
      </c>
      <c r="B120">
        <v>2016</v>
      </c>
      <c r="C120" t="s">
        <v>36</v>
      </c>
      <c r="D120" s="10">
        <f>DATE(All_India_Index_Upto_April23__13[[#This Row],[Year]],All_India_Index_Upto_April23__13[[#This Row],[Month Number]],1)</f>
        <v>42461</v>
      </c>
      <c r="E120" s="2" t="str">
        <f>IF(All_India_Index_Upto_April23__13[[#This Row],[Date]]&lt;DATE(2020, 3, 1),"Pre-COVID","Post-COVID")</f>
        <v>Pre-COVID</v>
      </c>
      <c r="F120">
        <v>124.9</v>
      </c>
      <c r="G120">
        <v>139.30000000000001</v>
      </c>
      <c r="H120">
        <v>119.9</v>
      </c>
      <c r="I120">
        <v>130.19999999999999</v>
      </c>
      <c r="J120">
        <v>108.9</v>
      </c>
      <c r="K120">
        <v>131.1</v>
      </c>
      <c r="L120">
        <v>136.80000000000001</v>
      </c>
      <c r="M120">
        <v>176.9</v>
      </c>
      <c r="N120">
        <v>109.1</v>
      </c>
      <c r="O120">
        <v>140.4</v>
      </c>
      <c r="P120">
        <v>121.1</v>
      </c>
      <c r="Q120">
        <v>135.9</v>
      </c>
      <c r="R120">
        <v>131.80000000000001</v>
      </c>
      <c r="S120">
        <v>141.5</v>
      </c>
      <c r="T120">
        <v>126.8</v>
      </c>
      <c r="U120">
        <v>120.5</v>
      </c>
      <c r="V120">
        <v>125.8</v>
      </c>
      <c r="W120" s="3">
        <v>125.6</v>
      </c>
      <c r="X120">
        <v>114.6</v>
      </c>
      <c r="Y120">
        <v>122.8</v>
      </c>
      <c r="Z120">
        <v>120</v>
      </c>
      <c r="AA120">
        <v>110</v>
      </c>
      <c r="AB120">
        <v>119.5</v>
      </c>
      <c r="AC120">
        <v>127.6</v>
      </c>
      <c r="AD120">
        <v>117.6</v>
      </c>
      <c r="AE120">
        <v>118.2</v>
      </c>
      <c r="AF120">
        <v>125.3</v>
      </c>
      <c r="AG12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21" spans="1:33" x14ac:dyDescent="0.3">
      <c r="A121" t="s">
        <v>33</v>
      </c>
      <c r="B121">
        <v>2020</v>
      </c>
      <c r="C121" t="s">
        <v>34</v>
      </c>
      <c r="D121" s="10">
        <f>DATE(All_India_Index_Upto_April23__13[[#This Row],[Year]],All_India_Index_Upto_April23__13[[#This Row],[Month Number]],1)</f>
        <v>43862</v>
      </c>
      <c r="E121" s="2" t="str">
        <f>IF(All_India_Index_Upto_April23__13[[#This Row],[Date]]&lt;DATE(2020, 3, 1),"Pre-COVID","Post-COVID")</f>
        <v>Pre-COVID</v>
      </c>
      <c r="F121">
        <v>144.80000000000001</v>
      </c>
      <c r="G121">
        <v>167.5</v>
      </c>
      <c r="H121">
        <v>151.80000000000001</v>
      </c>
      <c r="I121">
        <v>150.80000000000001</v>
      </c>
      <c r="J121">
        <v>131.4</v>
      </c>
      <c r="K121">
        <v>141.80000000000001</v>
      </c>
      <c r="L121">
        <v>170.7</v>
      </c>
      <c r="M121">
        <v>141.1</v>
      </c>
      <c r="N121">
        <v>113.6</v>
      </c>
      <c r="O121">
        <v>152</v>
      </c>
      <c r="P121">
        <v>136.5</v>
      </c>
      <c r="Q121">
        <v>159.1</v>
      </c>
      <c r="R121">
        <v>150.5</v>
      </c>
      <c r="S121">
        <v>170.1</v>
      </c>
      <c r="T121">
        <v>150.80000000000001</v>
      </c>
      <c r="U121">
        <v>141.69999999999999</v>
      </c>
      <c r="V121">
        <v>149.5</v>
      </c>
      <c r="W121" s="3">
        <v>154.80000000000001</v>
      </c>
      <c r="X121">
        <v>147.19999999999999</v>
      </c>
      <c r="Y121">
        <v>146.4</v>
      </c>
      <c r="Z121">
        <v>151.69999999999999</v>
      </c>
      <c r="AA121">
        <v>130.30000000000001</v>
      </c>
      <c r="AB121">
        <v>143.19999999999999</v>
      </c>
      <c r="AC121">
        <v>156.19999999999999</v>
      </c>
      <c r="AD121">
        <v>143.4</v>
      </c>
      <c r="AE121">
        <v>143.6</v>
      </c>
      <c r="AF121">
        <v>149.1</v>
      </c>
      <c r="AG12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22" spans="1:33" hidden="1" x14ac:dyDescent="0.3">
      <c r="A122" t="s">
        <v>30</v>
      </c>
      <c r="B122">
        <v>2016</v>
      </c>
      <c r="C122" t="s">
        <v>37</v>
      </c>
      <c r="D122" s="10">
        <f>DATE(All_India_Index_Upto_April23__13[[#This Row],[Year]],All_India_Index_Upto_April23__13[[#This Row],[Month Number]],1)</f>
        <v>42491</v>
      </c>
      <c r="E122" s="2" t="str">
        <f>IF(All_India_Index_Upto_April23__13[[#This Row],[Date]]&lt;DATE(2020, 3, 1),"Pre-COVID","Post-COVID")</f>
        <v>Pre-COVID</v>
      </c>
      <c r="F122">
        <v>127.6</v>
      </c>
      <c r="G122">
        <v>137.5</v>
      </c>
      <c r="H122">
        <v>124.4</v>
      </c>
      <c r="I122">
        <v>132.4</v>
      </c>
      <c r="J122">
        <v>118.2</v>
      </c>
      <c r="K122">
        <v>138.1</v>
      </c>
      <c r="L122">
        <v>141.80000000000001</v>
      </c>
      <c r="M122">
        <v>166</v>
      </c>
      <c r="N122">
        <v>107.5</v>
      </c>
      <c r="O122">
        <v>132.19999999999999</v>
      </c>
      <c r="P122">
        <v>126.1</v>
      </c>
      <c r="Q122">
        <v>138.30000000000001</v>
      </c>
      <c r="R122">
        <v>133.6</v>
      </c>
      <c r="S122">
        <v>136</v>
      </c>
      <c r="T122">
        <v>135.4</v>
      </c>
      <c r="U122">
        <v>131.1</v>
      </c>
      <c r="V122">
        <v>134.80000000000001</v>
      </c>
      <c r="W122" s="3">
        <v>141</v>
      </c>
      <c r="X122">
        <v>127.4</v>
      </c>
      <c r="Y122">
        <v>128.5</v>
      </c>
      <c r="Z122">
        <v>125.8</v>
      </c>
      <c r="AA122">
        <v>115.1</v>
      </c>
      <c r="AB122">
        <v>123.6</v>
      </c>
      <c r="AC122">
        <v>129.1</v>
      </c>
      <c r="AD122">
        <v>119.7</v>
      </c>
      <c r="AE122">
        <v>122.5</v>
      </c>
      <c r="AF122">
        <v>130.30000000000001</v>
      </c>
      <c r="AG12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23" spans="1:33" hidden="1" x14ac:dyDescent="0.3">
      <c r="A123" t="s">
        <v>32</v>
      </c>
      <c r="B123">
        <v>2016</v>
      </c>
      <c r="C123" t="s">
        <v>37</v>
      </c>
      <c r="D123" s="10">
        <f>DATE(All_India_Index_Upto_April23__13[[#This Row],[Year]],All_India_Index_Upto_April23__13[[#This Row],[Month Number]],1)</f>
        <v>42491</v>
      </c>
      <c r="E123" s="2" t="str">
        <f>IF(All_India_Index_Upto_April23__13[[#This Row],[Date]]&lt;DATE(2020, 3, 1),"Pre-COVID","Post-COVID")</f>
        <v>Pre-COVID</v>
      </c>
      <c r="F123">
        <v>125</v>
      </c>
      <c r="G123">
        <v>142.1</v>
      </c>
      <c r="H123">
        <v>127</v>
      </c>
      <c r="I123">
        <v>130.4</v>
      </c>
      <c r="J123">
        <v>109.6</v>
      </c>
      <c r="K123">
        <v>133.5</v>
      </c>
      <c r="L123">
        <v>151.4</v>
      </c>
      <c r="M123">
        <v>182.8</v>
      </c>
      <c r="N123">
        <v>111.1</v>
      </c>
      <c r="O123">
        <v>141.5</v>
      </c>
      <c r="P123">
        <v>121.5</v>
      </c>
      <c r="Q123">
        <v>136.30000000000001</v>
      </c>
      <c r="R123">
        <v>134.6</v>
      </c>
      <c r="S123">
        <v>142.19999999999999</v>
      </c>
      <c r="T123">
        <v>127.2</v>
      </c>
      <c r="U123">
        <v>120.7</v>
      </c>
      <c r="V123">
        <v>126.2</v>
      </c>
      <c r="W123" s="3">
        <v>126</v>
      </c>
      <c r="X123">
        <v>115</v>
      </c>
      <c r="Y123">
        <v>123.2</v>
      </c>
      <c r="Z123">
        <v>120.3</v>
      </c>
      <c r="AA123">
        <v>110.7</v>
      </c>
      <c r="AB123">
        <v>119.8</v>
      </c>
      <c r="AC123">
        <v>128</v>
      </c>
      <c r="AD123">
        <v>118.5</v>
      </c>
      <c r="AE123">
        <v>118.7</v>
      </c>
      <c r="AF123">
        <v>126.6</v>
      </c>
      <c r="AG12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24" spans="1:33" x14ac:dyDescent="0.3">
      <c r="A124" t="s">
        <v>33</v>
      </c>
      <c r="B124">
        <v>2020</v>
      </c>
      <c r="C124" t="s">
        <v>31</v>
      </c>
      <c r="D124" s="10">
        <f>DATE(All_India_Index_Upto_April23__13[[#This Row],[Year]],All_India_Index_Upto_April23__13[[#This Row],[Month Number]],1)</f>
        <v>43831</v>
      </c>
      <c r="E124" s="2" t="str">
        <f>IF(All_India_Index_Upto_April23__13[[#This Row],[Date]]&lt;DATE(2020, 3, 1),"Pre-COVID","Post-COVID")</f>
        <v>Pre-COVID</v>
      </c>
      <c r="F124">
        <v>144.30000000000001</v>
      </c>
      <c r="G124">
        <v>167.4</v>
      </c>
      <c r="H124">
        <v>154.9</v>
      </c>
      <c r="I124">
        <v>150.1</v>
      </c>
      <c r="J124">
        <v>129.9</v>
      </c>
      <c r="K124">
        <v>143.19999999999999</v>
      </c>
      <c r="L124">
        <v>197</v>
      </c>
      <c r="M124">
        <v>140.4</v>
      </c>
      <c r="N124">
        <v>114.1</v>
      </c>
      <c r="O124">
        <v>150.9</v>
      </c>
      <c r="P124">
        <v>136.1</v>
      </c>
      <c r="Q124">
        <v>158.6</v>
      </c>
      <c r="R124">
        <v>153.5</v>
      </c>
      <c r="S124">
        <v>169.2</v>
      </c>
      <c r="T124">
        <v>150.5</v>
      </c>
      <c r="U124">
        <v>141.5</v>
      </c>
      <c r="V124">
        <v>149.19999999999999</v>
      </c>
      <c r="W124" s="3">
        <v>153.9</v>
      </c>
      <c r="X124">
        <v>144.6</v>
      </c>
      <c r="Y124">
        <v>146.19999999999999</v>
      </c>
      <c r="Z124">
        <v>151.19999999999999</v>
      </c>
      <c r="AA124">
        <v>130.9</v>
      </c>
      <c r="AB124">
        <v>142.80000000000001</v>
      </c>
      <c r="AC124">
        <v>156.1</v>
      </c>
      <c r="AD124">
        <v>142.30000000000001</v>
      </c>
      <c r="AE124">
        <v>143.4</v>
      </c>
      <c r="AF124">
        <v>150.19999999999999</v>
      </c>
      <c r="AG12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25" spans="1:33" hidden="1" x14ac:dyDescent="0.3">
      <c r="A125" t="s">
        <v>30</v>
      </c>
      <c r="B125">
        <v>2016</v>
      </c>
      <c r="C125" t="s">
        <v>38</v>
      </c>
      <c r="D125" s="10">
        <f>DATE(All_India_Index_Upto_April23__13[[#This Row],[Year]],All_India_Index_Upto_April23__13[[#This Row],[Month Number]],1)</f>
        <v>42522</v>
      </c>
      <c r="E125" s="2" t="str">
        <f>IF(All_India_Index_Upto_April23__13[[#This Row],[Date]]&lt;DATE(2020, 3, 1),"Pre-COVID","Post-COVID")</f>
        <v>Pre-COVID</v>
      </c>
      <c r="F125">
        <v>128.6</v>
      </c>
      <c r="G125">
        <v>138.6</v>
      </c>
      <c r="H125">
        <v>126.6</v>
      </c>
      <c r="I125">
        <v>133.6</v>
      </c>
      <c r="J125">
        <v>118.6</v>
      </c>
      <c r="K125">
        <v>137.4</v>
      </c>
      <c r="L125">
        <v>152.5</v>
      </c>
      <c r="M125">
        <v>169.2</v>
      </c>
      <c r="N125">
        <v>108.8</v>
      </c>
      <c r="O125">
        <v>133.1</v>
      </c>
      <c r="P125">
        <v>126.4</v>
      </c>
      <c r="Q125">
        <v>139.19999999999999</v>
      </c>
      <c r="R125">
        <v>136</v>
      </c>
      <c r="S125">
        <v>137.19999999999999</v>
      </c>
      <c r="T125">
        <v>136.30000000000001</v>
      </c>
      <c r="U125">
        <v>131.6</v>
      </c>
      <c r="V125">
        <v>135.6</v>
      </c>
      <c r="W125" s="3">
        <v>141</v>
      </c>
      <c r="X125">
        <v>128</v>
      </c>
      <c r="Y125">
        <v>129.30000000000001</v>
      </c>
      <c r="Z125">
        <v>126.2</v>
      </c>
      <c r="AA125">
        <v>116.3</v>
      </c>
      <c r="AB125">
        <v>124.1</v>
      </c>
      <c r="AC125">
        <v>130.19999999999999</v>
      </c>
      <c r="AD125">
        <v>119.9</v>
      </c>
      <c r="AE125">
        <v>123.3</v>
      </c>
      <c r="AF125">
        <v>131.9</v>
      </c>
      <c r="AG12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26" spans="1:33" hidden="1" x14ac:dyDescent="0.3">
      <c r="A126" t="s">
        <v>32</v>
      </c>
      <c r="B126">
        <v>2016</v>
      </c>
      <c r="C126" t="s">
        <v>38</v>
      </c>
      <c r="D126" s="10">
        <f>DATE(All_India_Index_Upto_April23__13[[#This Row],[Year]],All_India_Index_Upto_April23__13[[#This Row],[Month Number]],1)</f>
        <v>42522</v>
      </c>
      <c r="E126" s="2" t="str">
        <f>IF(All_India_Index_Upto_April23__13[[#This Row],[Date]]&lt;DATE(2020, 3, 1),"Pre-COVID","Post-COVID")</f>
        <v>Pre-COVID</v>
      </c>
      <c r="F126">
        <v>125.9</v>
      </c>
      <c r="G126">
        <v>143.9</v>
      </c>
      <c r="H126">
        <v>130.9</v>
      </c>
      <c r="I126">
        <v>131</v>
      </c>
      <c r="J126">
        <v>110.2</v>
      </c>
      <c r="K126">
        <v>135.5</v>
      </c>
      <c r="L126">
        <v>173.7</v>
      </c>
      <c r="M126">
        <v>184.4</v>
      </c>
      <c r="N126">
        <v>112</v>
      </c>
      <c r="O126">
        <v>142.80000000000001</v>
      </c>
      <c r="P126">
        <v>121.6</v>
      </c>
      <c r="Q126">
        <v>136.9</v>
      </c>
      <c r="R126">
        <v>138.19999999999999</v>
      </c>
      <c r="S126">
        <v>142.69999999999999</v>
      </c>
      <c r="T126">
        <v>127.6</v>
      </c>
      <c r="U126">
        <v>121.1</v>
      </c>
      <c r="V126">
        <v>126.6</v>
      </c>
      <c r="W126" s="3">
        <v>125.5</v>
      </c>
      <c r="X126">
        <v>115.5</v>
      </c>
      <c r="Y126">
        <v>123.2</v>
      </c>
      <c r="Z126">
        <v>120.6</v>
      </c>
      <c r="AA126">
        <v>112.3</v>
      </c>
      <c r="AB126">
        <v>119.9</v>
      </c>
      <c r="AC126">
        <v>129.30000000000001</v>
      </c>
      <c r="AD126">
        <v>118.8</v>
      </c>
      <c r="AE126">
        <v>119.6</v>
      </c>
      <c r="AF126">
        <v>128.1</v>
      </c>
      <c r="AG12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27" spans="1:33" x14ac:dyDescent="0.3">
      <c r="A127" t="s">
        <v>33</v>
      </c>
      <c r="B127">
        <v>2019</v>
      </c>
      <c r="C127" t="s">
        <v>44</v>
      </c>
      <c r="D127" s="10">
        <f>DATE(All_India_Index_Upto_April23__13[[#This Row],[Year]],All_India_Index_Upto_April23__13[[#This Row],[Month Number]],1)</f>
        <v>43800</v>
      </c>
      <c r="E127" s="2" t="str">
        <f>IF(All_India_Index_Upto_April23__13[[#This Row],[Date]]&lt;DATE(2020, 3, 1),"Pre-COVID","Post-COVID")</f>
        <v>Pre-COVID</v>
      </c>
      <c r="F127">
        <v>143.5</v>
      </c>
      <c r="G127">
        <v>165</v>
      </c>
      <c r="H127">
        <v>151.1</v>
      </c>
      <c r="I127">
        <v>148.30000000000001</v>
      </c>
      <c r="J127">
        <v>125.7</v>
      </c>
      <c r="K127">
        <v>145.69999999999999</v>
      </c>
      <c r="L127">
        <v>217</v>
      </c>
      <c r="M127">
        <v>138.30000000000001</v>
      </c>
      <c r="N127">
        <v>114</v>
      </c>
      <c r="O127">
        <v>148.69999999999999</v>
      </c>
      <c r="P127">
        <v>135.80000000000001</v>
      </c>
      <c r="Q127">
        <v>158</v>
      </c>
      <c r="R127">
        <v>155</v>
      </c>
      <c r="S127">
        <v>168.5</v>
      </c>
      <c r="T127">
        <v>150.30000000000001</v>
      </c>
      <c r="U127">
        <v>141.30000000000001</v>
      </c>
      <c r="V127">
        <v>149</v>
      </c>
      <c r="W127" s="3">
        <v>152.80000000000001</v>
      </c>
      <c r="X127">
        <v>143.69999999999999</v>
      </c>
      <c r="Y127">
        <v>145.80000000000001</v>
      </c>
      <c r="Z127">
        <v>150.4</v>
      </c>
      <c r="AA127">
        <v>129.80000000000001</v>
      </c>
      <c r="AB127">
        <v>142.30000000000001</v>
      </c>
      <c r="AC127">
        <v>155.69999999999999</v>
      </c>
      <c r="AD127">
        <v>140.4</v>
      </c>
      <c r="AE127">
        <v>142.5</v>
      </c>
      <c r="AF127">
        <v>150.4</v>
      </c>
      <c r="AG12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28" spans="1:33" hidden="1" x14ac:dyDescent="0.3">
      <c r="A128" t="s">
        <v>30</v>
      </c>
      <c r="B128">
        <v>2016</v>
      </c>
      <c r="C128" t="s">
        <v>39</v>
      </c>
      <c r="D128" s="10">
        <f>DATE(All_India_Index_Upto_April23__13[[#This Row],[Year]],All_India_Index_Upto_April23__13[[#This Row],[Month Number]],1)</f>
        <v>42552</v>
      </c>
      <c r="E128" s="2" t="str">
        <f>IF(All_India_Index_Upto_April23__13[[#This Row],[Date]]&lt;DATE(2020, 3, 1),"Pre-COVID","Post-COVID")</f>
        <v>Pre-COVID</v>
      </c>
      <c r="F128">
        <v>129.30000000000001</v>
      </c>
      <c r="G128">
        <v>139.5</v>
      </c>
      <c r="H128">
        <v>129.6</v>
      </c>
      <c r="I128">
        <v>134.5</v>
      </c>
      <c r="J128">
        <v>119.5</v>
      </c>
      <c r="K128">
        <v>138.5</v>
      </c>
      <c r="L128">
        <v>158.19999999999999</v>
      </c>
      <c r="M128">
        <v>171.8</v>
      </c>
      <c r="N128">
        <v>110.3</v>
      </c>
      <c r="O128">
        <v>134.30000000000001</v>
      </c>
      <c r="P128">
        <v>127.3</v>
      </c>
      <c r="Q128">
        <v>139.9</v>
      </c>
      <c r="R128">
        <v>137.6</v>
      </c>
      <c r="S128">
        <v>138</v>
      </c>
      <c r="T128">
        <v>137.19999999999999</v>
      </c>
      <c r="U128">
        <v>132.19999999999999</v>
      </c>
      <c r="V128">
        <v>136.5</v>
      </c>
      <c r="W128" s="3">
        <v>141</v>
      </c>
      <c r="X128">
        <v>128.19999999999999</v>
      </c>
      <c r="Y128">
        <v>130</v>
      </c>
      <c r="Z128">
        <v>126.7</v>
      </c>
      <c r="AA128">
        <v>116.4</v>
      </c>
      <c r="AB128">
        <v>125.2</v>
      </c>
      <c r="AC128">
        <v>130.80000000000001</v>
      </c>
      <c r="AD128">
        <v>120.9</v>
      </c>
      <c r="AE128">
        <v>123.8</v>
      </c>
      <c r="AF128">
        <v>133</v>
      </c>
      <c r="AG12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29" spans="1:33" hidden="1" x14ac:dyDescent="0.3">
      <c r="A129" t="s">
        <v>32</v>
      </c>
      <c r="B129">
        <v>2016</v>
      </c>
      <c r="C129" t="s">
        <v>39</v>
      </c>
      <c r="D129" s="10">
        <f>DATE(All_India_Index_Upto_April23__13[[#This Row],[Year]],All_India_Index_Upto_April23__13[[#This Row],[Month Number]],1)</f>
        <v>42552</v>
      </c>
      <c r="E129" s="2" t="str">
        <f>IF(All_India_Index_Upto_April23__13[[#This Row],[Date]]&lt;DATE(2020, 3, 1),"Pre-COVID","Post-COVID")</f>
        <v>Pre-COVID</v>
      </c>
      <c r="F129">
        <v>126.8</v>
      </c>
      <c r="G129">
        <v>144.19999999999999</v>
      </c>
      <c r="H129">
        <v>136.6</v>
      </c>
      <c r="I129">
        <v>131.80000000000001</v>
      </c>
      <c r="J129">
        <v>111</v>
      </c>
      <c r="K129">
        <v>137</v>
      </c>
      <c r="L129">
        <v>179.5</v>
      </c>
      <c r="M129">
        <v>188.4</v>
      </c>
      <c r="N129">
        <v>113.3</v>
      </c>
      <c r="O129">
        <v>143.9</v>
      </c>
      <c r="P129">
        <v>121.7</v>
      </c>
      <c r="Q129">
        <v>137.5</v>
      </c>
      <c r="R129">
        <v>139.80000000000001</v>
      </c>
      <c r="S129">
        <v>142.9</v>
      </c>
      <c r="T129">
        <v>127.9</v>
      </c>
      <c r="U129">
        <v>121.1</v>
      </c>
      <c r="V129">
        <v>126.9</v>
      </c>
      <c r="W129" s="3">
        <v>126.4</v>
      </c>
      <c r="X129">
        <v>115.5</v>
      </c>
      <c r="Y129">
        <v>123.5</v>
      </c>
      <c r="Z129">
        <v>120.9</v>
      </c>
      <c r="AA129">
        <v>111.7</v>
      </c>
      <c r="AB129">
        <v>120.3</v>
      </c>
      <c r="AC129">
        <v>130.80000000000001</v>
      </c>
      <c r="AD129">
        <v>120</v>
      </c>
      <c r="AE129">
        <v>119.9</v>
      </c>
      <c r="AF129">
        <v>129</v>
      </c>
      <c r="AG12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30" spans="1:33" x14ac:dyDescent="0.3">
      <c r="A130" t="s">
        <v>33</v>
      </c>
      <c r="B130">
        <v>2019</v>
      </c>
      <c r="C130" t="s">
        <v>43</v>
      </c>
      <c r="D130" s="10">
        <f>DATE(All_India_Index_Upto_April23__13[[#This Row],[Year]],All_India_Index_Upto_April23__13[[#This Row],[Month Number]],1)</f>
        <v>43770</v>
      </c>
      <c r="E130" s="2" t="str">
        <f>IF(All_India_Index_Upto_April23__13[[#This Row],[Date]]&lt;DATE(2020, 3, 1),"Pre-COVID","Post-COVID")</f>
        <v>Pre-COVID</v>
      </c>
      <c r="F130">
        <v>142.5</v>
      </c>
      <c r="G130">
        <v>163.19999999999999</v>
      </c>
      <c r="H130">
        <v>145.6</v>
      </c>
      <c r="I130">
        <v>146.69999999999999</v>
      </c>
      <c r="J130">
        <v>124.3</v>
      </c>
      <c r="K130">
        <v>147.4</v>
      </c>
      <c r="L130">
        <v>199.6</v>
      </c>
      <c r="M130">
        <v>135.69999999999999</v>
      </c>
      <c r="N130">
        <v>114.2</v>
      </c>
      <c r="O130">
        <v>147</v>
      </c>
      <c r="P130">
        <v>135.30000000000001</v>
      </c>
      <c r="Q130">
        <v>157.5</v>
      </c>
      <c r="R130">
        <v>151.9</v>
      </c>
      <c r="S130">
        <v>167.9</v>
      </c>
      <c r="T130">
        <v>149.9</v>
      </c>
      <c r="U130">
        <v>141</v>
      </c>
      <c r="V130">
        <v>148.6</v>
      </c>
      <c r="W130" s="3">
        <v>153.5</v>
      </c>
      <c r="X130">
        <v>142.30000000000001</v>
      </c>
      <c r="Y130">
        <v>145.30000000000001</v>
      </c>
      <c r="Z130">
        <v>149.9</v>
      </c>
      <c r="AA130">
        <v>126.6</v>
      </c>
      <c r="AB130">
        <v>142.1</v>
      </c>
      <c r="AC130">
        <v>155.5</v>
      </c>
      <c r="AD130">
        <v>140.30000000000001</v>
      </c>
      <c r="AE130">
        <v>141.30000000000001</v>
      </c>
      <c r="AF130">
        <v>148.6</v>
      </c>
      <c r="AG13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31" spans="1:33" hidden="1" x14ac:dyDescent="0.3">
      <c r="A131" t="s">
        <v>30</v>
      </c>
      <c r="B131">
        <v>2016</v>
      </c>
      <c r="C131" t="s">
        <v>40</v>
      </c>
      <c r="D131" s="10">
        <f>DATE(All_India_Index_Upto_April23__13[[#This Row],[Year]],All_India_Index_Upto_April23__13[[#This Row],[Month Number]],1)</f>
        <v>42583</v>
      </c>
      <c r="E131" s="2" t="str">
        <f>IF(All_India_Index_Upto_April23__13[[#This Row],[Date]]&lt;DATE(2020, 3, 1),"Pre-COVID","Post-COVID")</f>
        <v>Pre-COVID</v>
      </c>
      <c r="F131">
        <v>130.1</v>
      </c>
      <c r="G131">
        <v>138.80000000000001</v>
      </c>
      <c r="H131">
        <v>130.30000000000001</v>
      </c>
      <c r="I131">
        <v>135.30000000000001</v>
      </c>
      <c r="J131">
        <v>119.9</v>
      </c>
      <c r="K131">
        <v>140.19999999999999</v>
      </c>
      <c r="L131">
        <v>156.9</v>
      </c>
      <c r="M131">
        <v>172.2</v>
      </c>
      <c r="N131">
        <v>112.1</v>
      </c>
      <c r="O131">
        <v>134.9</v>
      </c>
      <c r="P131">
        <v>128.1</v>
      </c>
      <c r="Q131">
        <v>140.69999999999999</v>
      </c>
      <c r="R131">
        <v>138</v>
      </c>
      <c r="S131">
        <v>138.9</v>
      </c>
      <c r="T131">
        <v>137.80000000000001</v>
      </c>
      <c r="U131">
        <v>133</v>
      </c>
      <c r="V131">
        <v>137.1</v>
      </c>
      <c r="W131" s="3">
        <v>141</v>
      </c>
      <c r="X131">
        <v>129.1</v>
      </c>
      <c r="Y131">
        <v>130.6</v>
      </c>
      <c r="Z131">
        <v>127</v>
      </c>
      <c r="AA131">
        <v>116</v>
      </c>
      <c r="AB131">
        <v>125.5</v>
      </c>
      <c r="AC131">
        <v>131.9</v>
      </c>
      <c r="AD131">
        <v>122</v>
      </c>
      <c r="AE131">
        <v>124.2</v>
      </c>
      <c r="AF131">
        <v>133.5</v>
      </c>
      <c r="AG13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32" spans="1:33" hidden="1" x14ac:dyDescent="0.3">
      <c r="A132" t="s">
        <v>32</v>
      </c>
      <c r="B132">
        <v>2016</v>
      </c>
      <c r="C132" t="s">
        <v>40</v>
      </c>
      <c r="D132" s="10">
        <f>DATE(All_India_Index_Upto_April23__13[[#This Row],[Year]],All_India_Index_Upto_April23__13[[#This Row],[Month Number]],1)</f>
        <v>42583</v>
      </c>
      <c r="E132" s="2" t="str">
        <f>IF(All_India_Index_Upto_April23__13[[#This Row],[Date]]&lt;DATE(2020, 3, 1),"Pre-COVID","Post-COVID")</f>
        <v>Pre-COVID</v>
      </c>
      <c r="F132">
        <v>127.6</v>
      </c>
      <c r="G132">
        <v>140.30000000000001</v>
      </c>
      <c r="H132">
        <v>133.69999999999999</v>
      </c>
      <c r="I132">
        <v>132.19999999999999</v>
      </c>
      <c r="J132">
        <v>111.8</v>
      </c>
      <c r="K132">
        <v>135.80000000000001</v>
      </c>
      <c r="L132">
        <v>163.5</v>
      </c>
      <c r="M132">
        <v>182.3</v>
      </c>
      <c r="N132">
        <v>114.6</v>
      </c>
      <c r="O132">
        <v>144.6</v>
      </c>
      <c r="P132">
        <v>121.9</v>
      </c>
      <c r="Q132">
        <v>138.1</v>
      </c>
      <c r="R132">
        <v>137.6</v>
      </c>
      <c r="S132">
        <v>143.6</v>
      </c>
      <c r="T132">
        <v>128.30000000000001</v>
      </c>
      <c r="U132">
        <v>121.4</v>
      </c>
      <c r="V132">
        <v>127.3</v>
      </c>
      <c r="W132" s="3">
        <v>127.3</v>
      </c>
      <c r="X132">
        <v>114.7</v>
      </c>
      <c r="Y132">
        <v>123.9</v>
      </c>
      <c r="Z132">
        <v>121.2</v>
      </c>
      <c r="AA132">
        <v>110.4</v>
      </c>
      <c r="AB132">
        <v>120.6</v>
      </c>
      <c r="AC132">
        <v>131.5</v>
      </c>
      <c r="AD132">
        <v>120.9</v>
      </c>
      <c r="AE132">
        <v>119.9</v>
      </c>
      <c r="AF132">
        <v>128.4</v>
      </c>
      <c r="AG13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33" spans="1:33" x14ac:dyDescent="0.3">
      <c r="A133" t="s">
        <v>33</v>
      </c>
      <c r="B133">
        <v>2019</v>
      </c>
      <c r="C133" t="s">
        <v>42</v>
      </c>
      <c r="D133" s="10">
        <f>DATE(All_India_Index_Upto_April23__13[[#This Row],[Year]],All_India_Index_Upto_April23__13[[#This Row],[Month Number]],1)</f>
        <v>43739</v>
      </c>
      <c r="E133" s="2" t="str">
        <f>IF(All_India_Index_Upto_April23__13[[#This Row],[Date]]&lt;DATE(2020, 3, 1),"Pre-COVID","Post-COVID")</f>
        <v>Pre-COVID</v>
      </c>
      <c r="F133">
        <v>141.80000000000001</v>
      </c>
      <c r="G133">
        <v>161</v>
      </c>
      <c r="H133">
        <v>142.6</v>
      </c>
      <c r="I133">
        <v>146.19999999999999</v>
      </c>
      <c r="J133">
        <v>123.9</v>
      </c>
      <c r="K133">
        <v>148</v>
      </c>
      <c r="L133">
        <v>188.4</v>
      </c>
      <c r="M133">
        <v>132.5</v>
      </c>
      <c r="N133">
        <v>114</v>
      </c>
      <c r="O133">
        <v>145.4</v>
      </c>
      <c r="P133">
        <v>135.1</v>
      </c>
      <c r="Q133">
        <v>157.1</v>
      </c>
      <c r="R133">
        <v>149.6</v>
      </c>
      <c r="S133">
        <v>167.1</v>
      </c>
      <c r="T133">
        <v>149.4</v>
      </c>
      <c r="U133">
        <v>140.80000000000001</v>
      </c>
      <c r="V133">
        <v>148.19999999999999</v>
      </c>
      <c r="W133" s="3">
        <v>153</v>
      </c>
      <c r="X133">
        <v>140.6</v>
      </c>
      <c r="Y133">
        <v>145</v>
      </c>
      <c r="Z133">
        <v>149.4</v>
      </c>
      <c r="AA133">
        <v>126.3</v>
      </c>
      <c r="AB133">
        <v>141.69999999999999</v>
      </c>
      <c r="AC133">
        <v>155.4</v>
      </c>
      <c r="AD133">
        <v>140</v>
      </c>
      <c r="AE133">
        <v>141</v>
      </c>
      <c r="AF133">
        <v>147.19999999999999</v>
      </c>
      <c r="AG13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34" spans="1:33" hidden="1" x14ac:dyDescent="0.3">
      <c r="A134" t="s">
        <v>30</v>
      </c>
      <c r="B134">
        <v>2016</v>
      </c>
      <c r="C134" t="s">
        <v>41</v>
      </c>
      <c r="D134" s="10">
        <f>DATE(All_India_Index_Upto_April23__13[[#This Row],[Year]],All_India_Index_Upto_April23__13[[#This Row],[Month Number]],1)</f>
        <v>42614</v>
      </c>
      <c r="E134" s="2" t="str">
        <f>IF(All_India_Index_Upto_April23__13[[#This Row],[Date]]&lt;DATE(2020, 3, 1),"Pre-COVID","Post-COVID")</f>
        <v>Pre-COVID</v>
      </c>
      <c r="F134">
        <v>130.80000000000001</v>
      </c>
      <c r="G134">
        <v>138.19999999999999</v>
      </c>
      <c r="H134">
        <v>130.5</v>
      </c>
      <c r="I134">
        <v>135.5</v>
      </c>
      <c r="J134">
        <v>120.2</v>
      </c>
      <c r="K134">
        <v>139.19999999999999</v>
      </c>
      <c r="L134">
        <v>149.5</v>
      </c>
      <c r="M134">
        <v>170.4</v>
      </c>
      <c r="N134">
        <v>113.1</v>
      </c>
      <c r="O134">
        <v>135.80000000000001</v>
      </c>
      <c r="P134">
        <v>128.80000000000001</v>
      </c>
      <c r="Q134">
        <v>141.5</v>
      </c>
      <c r="R134">
        <v>137.19999999999999</v>
      </c>
      <c r="S134">
        <v>139.9</v>
      </c>
      <c r="T134">
        <v>138.5</v>
      </c>
      <c r="U134">
        <v>133.5</v>
      </c>
      <c r="V134">
        <v>137.80000000000001</v>
      </c>
      <c r="W134" s="3">
        <v>141</v>
      </c>
      <c r="X134">
        <v>129.69999999999999</v>
      </c>
      <c r="Y134">
        <v>131.1</v>
      </c>
      <c r="Z134">
        <v>127.8</v>
      </c>
      <c r="AA134">
        <v>117</v>
      </c>
      <c r="AB134">
        <v>125.7</v>
      </c>
      <c r="AC134">
        <v>132.19999999999999</v>
      </c>
      <c r="AD134">
        <v>122.8</v>
      </c>
      <c r="AE134">
        <v>124.9</v>
      </c>
      <c r="AF134">
        <v>133.4</v>
      </c>
      <c r="AG13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35" spans="1:33" hidden="1" x14ac:dyDescent="0.3">
      <c r="A135" t="s">
        <v>32</v>
      </c>
      <c r="B135">
        <v>2016</v>
      </c>
      <c r="C135" t="s">
        <v>41</v>
      </c>
      <c r="D135" s="10">
        <f>DATE(All_India_Index_Upto_April23__13[[#This Row],[Year]],All_India_Index_Upto_April23__13[[#This Row],[Month Number]],1)</f>
        <v>42614</v>
      </c>
      <c r="E135" s="2" t="str">
        <f>IF(All_India_Index_Upto_April23__13[[#This Row],[Date]]&lt;DATE(2020, 3, 1),"Pre-COVID","Post-COVID")</f>
        <v>Pre-COVID</v>
      </c>
      <c r="F135">
        <v>128.1</v>
      </c>
      <c r="G135">
        <v>137.69999999999999</v>
      </c>
      <c r="H135">
        <v>130.6</v>
      </c>
      <c r="I135">
        <v>132.6</v>
      </c>
      <c r="J135">
        <v>111.9</v>
      </c>
      <c r="K135">
        <v>132.5</v>
      </c>
      <c r="L135">
        <v>152.9</v>
      </c>
      <c r="M135">
        <v>173.6</v>
      </c>
      <c r="N135">
        <v>115.1</v>
      </c>
      <c r="O135">
        <v>144.80000000000001</v>
      </c>
      <c r="P135">
        <v>122.1</v>
      </c>
      <c r="Q135">
        <v>138.80000000000001</v>
      </c>
      <c r="R135">
        <v>135.69999999999999</v>
      </c>
      <c r="S135">
        <v>143.9</v>
      </c>
      <c r="T135">
        <v>128.69999999999999</v>
      </c>
      <c r="U135">
        <v>121.6</v>
      </c>
      <c r="V135">
        <v>127.7</v>
      </c>
      <c r="W135" s="3">
        <v>127.9</v>
      </c>
      <c r="X135">
        <v>114.8</v>
      </c>
      <c r="Y135">
        <v>124.3</v>
      </c>
      <c r="Z135">
        <v>121.4</v>
      </c>
      <c r="AA135">
        <v>111.8</v>
      </c>
      <c r="AB135">
        <v>120.8</v>
      </c>
      <c r="AC135">
        <v>131.6</v>
      </c>
      <c r="AD135">
        <v>121.2</v>
      </c>
      <c r="AE135">
        <v>120.5</v>
      </c>
      <c r="AF135">
        <v>128</v>
      </c>
      <c r="AG13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36" spans="1:33" x14ac:dyDescent="0.3">
      <c r="A136" t="s">
        <v>33</v>
      </c>
      <c r="B136">
        <v>2019</v>
      </c>
      <c r="C136" t="s">
        <v>41</v>
      </c>
      <c r="D136" s="10">
        <f>DATE(All_India_Index_Upto_April23__13[[#This Row],[Year]],All_India_Index_Upto_April23__13[[#This Row],[Month Number]],1)</f>
        <v>43709</v>
      </c>
      <c r="E136" s="2" t="str">
        <f>IF(All_India_Index_Upto_April23__13[[#This Row],[Date]]&lt;DATE(2020, 3, 1),"Pre-COVID","Post-COVID")</f>
        <v>Pre-COVID</v>
      </c>
      <c r="F136">
        <v>140.9</v>
      </c>
      <c r="G136">
        <v>160.80000000000001</v>
      </c>
      <c r="H136">
        <v>139.6</v>
      </c>
      <c r="I136">
        <v>145.4</v>
      </c>
      <c r="J136">
        <v>123.5</v>
      </c>
      <c r="K136">
        <v>146.6</v>
      </c>
      <c r="L136">
        <v>173.2</v>
      </c>
      <c r="M136">
        <v>131.6</v>
      </c>
      <c r="N136">
        <v>113.2</v>
      </c>
      <c r="O136">
        <v>144.1</v>
      </c>
      <c r="P136">
        <v>135</v>
      </c>
      <c r="Q136">
        <v>156.80000000000001</v>
      </c>
      <c r="R136">
        <v>147</v>
      </c>
      <c r="S136">
        <v>166.5</v>
      </c>
      <c r="T136">
        <v>149.19999999999999</v>
      </c>
      <c r="U136">
        <v>140.6</v>
      </c>
      <c r="V136">
        <v>147.9</v>
      </c>
      <c r="W136" s="3">
        <v>152.19999999999999</v>
      </c>
      <c r="X136">
        <v>139.19999999999999</v>
      </c>
      <c r="Y136">
        <v>144.6</v>
      </c>
      <c r="Z136">
        <v>149</v>
      </c>
      <c r="AA136">
        <v>126.1</v>
      </c>
      <c r="AB136">
        <v>141.30000000000001</v>
      </c>
      <c r="AC136">
        <v>155.19999999999999</v>
      </c>
      <c r="AD136">
        <v>139.69999999999999</v>
      </c>
      <c r="AE136">
        <v>140.69999999999999</v>
      </c>
      <c r="AF136">
        <v>145.80000000000001</v>
      </c>
      <c r="AG13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37" spans="1:33" hidden="1" x14ac:dyDescent="0.3">
      <c r="A137" t="s">
        <v>30</v>
      </c>
      <c r="B137">
        <v>2016</v>
      </c>
      <c r="C137" t="s">
        <v>42</v>
      </c>
      <c r="D137" s="10">
        <f>DATE(All_India_Index_Upto_April23__13[[#This Row],[Year]],All_India_Index_Upto_April23__13[[#This Row],[Month Number]],1)</f>
        <v>42644</v>
      </c>
      <c r="E137" s="2" t="str">
        <f>IF(All_India_Index_Upto_April23__13[[#This Row],[Date]]&lt;DATE(2020, 3, 1),"Pre-COVID","Post-COVID")</f>
        <v>Pre-COVID</v>
      </c>
      <c r="F137">
        <v>131.30000000000001</v>
      </c>
      <c r="G137">
        <v>137.6</v>
      </c>
      <c r="H137">
        <v>130.1</v>
      </c>
      <c r="I137">
        <v>136</v>
      </c>
      <c r="J137">
        <v>120.8</v>
      </c>
      <c r="K137">
        <v>138.4</v>
      </c>
      <c r="L137">
        <v>149.19999999999999</v>
      </c>
      <c r="M137">
        <v>170.2</v>
      </c>
      <c r="N137">
        <v>113.4</v>
      </c>
      <c r="O137">
        <v>136.30000000000001</v>
      </c>
      <c r="P137">
        <v>128.69999999999999</v>
      </c>
      <c r="Q137">
        <v>142.4</v>
      </c>
      <c r="R137">
        <v>137.4</v>
      </c>
      <c r="S137">
        <v>140.9</v>
      </c>
      <c r="T137">
        <v>139.6</v>
      </c>
      <c r="U137">
        <v>134.30000000000001</v>
      </c>
      <c r="V137">
        <v>138.80000000000001</v>
      </c>
      <c r="W137" s="3">
        <v>141</v>
      </c>
      <c r="X137">
        <v>129.80000000000001</v>
      </c>
      <c r="Y137">
        <v>131.80000000000001</v>
      </c>
      <c r="Z137">
        <v>128.69999999999999</v>
      </c>
      <c r="AA137">
        <v>117.8</v>
      </c>
      <c r="AB137">
        <v>126.5</v>
      </c>
      <c r="AC137">
        <v>133</v>
      </c>
      <c r="AD137">
        <v>123</v>
      </c>
      <c r="AE137">
        <v>125.7</v>
      </c>
      <c r="AF137">
        <v>133.80000000000001</v>
      </c>
      <c r="AG13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38" spans="1:33" hidden="1" x14ac:dyDescent="0.3">
      <c r="A138" t="s">
        <v>32</v>
      </c>
      <c r="B138">
        <v>2016</v>
      </c>
      <c r="C138" t="s">
        <v>42</v>
      </c>
      <c r="D138" s="10">
        <f>DATE(All_India_Index_Upto_April23__13[[#This Row],[Year]],All_India_Index_Upto_April23__13[[#This Row],[Month Number]],1)</f>
        <v>42644</v>
      </c>
      <c r="E138" s="2" t="str">
        <f>IF(All_India_Index_Upto_April23__13[[#This Row],[Date]]&lt;DATE(2020, 3, 1),"Pre-COVID","Post-COVID")</f>
        <v>Pre-COVID</v>
      </c>
      <c r="F138">
        <v>128.69999999999999</v>
      </c>
      <c r="G138">
        <v>138.4</v>
      </c>
      <c r="H138">
        <v>130.30000000000001</v>
      </c>
      <c r="I138">
        <v>132.69999999999999</v>
      </c>
      <c r="J138">
        <v>112.5</v>
      </c>
      <c r="K138">
        <v>130.4</v>
      </c>
      <c r="L138">
        <v>155.1</v>
      </c>
      <c r="M138">
        <v>175.7</v>
      </c>
      <c r="N138">
        <v>115.4</v>
      </c>
      <c r="O138">
        <v>145.30000000000001</v>
      </c>
      <c r="P138">
        <v>122.5</v>
      </c>
      <c r="Q138">
        <v>139.6</v>
      </c>
      <c r="R138">
        <v>136.30000000000001</v>
      </c>
      <c r="S138">
        <v>144.30000000000001</v>
      </c>
      <c r="T138">
        <v>129.1</v>
      </c>
      <c r="U138">
        <v>121.9</v>
      </c>
      <c r="V138">
        <v>128</v>
      </c>
      <c r="W138" s="3">
        <v>128.69999999999999</v>
      </c>
      <c r="X138">
        <v>115.2</v>
      </c>
      <c r="Y138">
        <v>124.5</v>
      </c>
      <c r="Z138">
        <v>121.8</v>
      </c>
      <c r="AA138">
        <v>112.8</v>
      </c>
      <c r="AB138">
        <v>121.2</v>
      </c>
      <c r="AC138">
        <v>131.9</v>
      </c>
      <c r="AD138">
        <v>120.8</v>
      </c>
      <c r="AE138">
        <v>120.9</v>
      </c>
      <c r="AF138">
        <v>128.6</v>
      </c>
      <c r="AG13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39" spans="1:33" x14ac:dyDescent="0.3">
      <c r="A139" t="s">
        <v>33</v>
      </c>
      <c r="B139">
        <v>2019</v>
      </c>
      <c r="C139" t="s">
        <v>40</v>
      </c>
      <c r="D139" s="10">
        <f>DATE(All_India_Index_Upto_April23__13[[#This Row],[Year]],All_India_Index_Upto_April23__13[[#This Row],[Month Number]],1)</f>
        <v>43678</v>
      </c>
      <c r="E139" s="2" t="str">
        <f>IF(All_India_Index_Upto_April23__13[[#This Row],[Date]]&lt;DATE(2020, 3, 1),"Pre-COVID","Post-COVID")</f>
        <v>Pre-COVID</v>
      </c>
      <c r="F139">
        <v>140.1</v>
      </c>
      <c r="G139">
        <v>160.6</v>
      </c>
      <c r="H139">
        <v>138.5</v>
      </c>
      <c r="I139">
        <v>144.69999999999999</v>
      </c>
      <c r="J139">
        <v>122.9</v>
      </c>
      <c r="K139">
        <v>149.4</v>
      </c>
      <c r="L139">
        <v>167.4</v>
      </c>
      <c r="M139">
        <v>130.9</v>
      </c>
      <c r="N139">
        <v>112</v>
      </c>
      <c r="O139">
        <v>142.6</v>
      </c>
      <c r="P139">
        <v>134.9</v>
      </c>
      <c r="Q139">
        <v>156.6</v>
      </c>
      <c r="R139">
        <v>145.9</v>
      </c>
      <c r="S139">
        <v>165.8</v>
      </c>
      <c r="T139">
        <v>149.1</v>
      </c>
      <c r="U139">
        <v>140.6</v>
      </c>
      <c r="V139">
        <v>147.9</v>
      </c>
      <c r="W139" s="3">
        <v>151.6</v>
      </c>
      <c r="X139">
        <v>138.5</v>
      </c>
      <c r="Y139">
        <v>144.5</v>
      </c>
      <c r="Z139">
        <v>148.5</v>
      </c>
      <c r="AA139">
        <v>125.8</v>
      </c>
      <c r="AB139">
        <v>140.9</v>
      </c>
      <c r="AC139">
        <v>154.9</v>
      </c>
      <c r="AD139">
        <v>138.4</v>
      </c>
      <c r="AE139">
        <v>140.19999999999999</v>
      </c>
      <c r="AF139">
        <v>145</v>
      </c>
      <c r="AG13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40" spans="1:33" hidden="1" x14ac:dyDescent="0.3">
      <c r="A140" t="s">
        <v>30</v>
      </c>
      <c r="B140">
        <v>2016</v>
      </c>
      <c r="C140" t="s">
        <v>43</v>
      </c>
      <c r="D140" s="10">
        <f>DATE(All_India_Index_Upto_April23__13[[#This Row],[Year]],All_India_Index_Upto_April23__13[[#This Row],[Month Number]],1)</f>
        <v>42675</v>
      </c>
      <c r="E140" s="2" t="str">
        <f>IF(All_India_Index_Upto_April23__13[[#This Row],[Date]]&lt;DATE(2020, 3, 1),"Pre-COVID","Post-COVID")</f>
        <v>Pre-COVID</v>
      </c>
      <c r="F140">
        <v>132</v>
      </c>
      <c r="G140">
        <v>137.4</v>
      </c>
      <c r="H140">
        <v>130.6</v>
      </c>
      <c r="I140">
        <v>136.19999999999999</v>
      </c>
      <c r="J140">
        <v>121.1</v>
      </c>
      <c r="K140">
        <v>136.9</v>
      </c>
      <c r="L140">
        <v>141.80000000000001</v>
      </c>
      <c r="M140">
        <v>170</v>
      </c>
      <c r="N140">
        <v>113.4</v>
      </c>
      <c r="O140">
        <v>136.80000000000001</v>
      </c>
      <c r="P140">
        <v>128.69999999999999</v>
      </c>
      <c r="Q140">
        <v>143.1</v>
      </c>
      <c r="R140">
        <v>136.6</v>
      </c>
      <c r="S140">
        <v>141.19999999999999</v>
      </c>
      <c r="T140">
        <v>139.9</v>
      </c>
      <c r="U140">
        <v>134.5</v>
      </c>
      <c r="V140">
        <v>139.19999999999999</v>
      </c>
      <c r="W140" s="3">
        <v>141</v>
      </c>
      <c r="X140">
        <v>130.30000000000001</v>
      </c>
      <c r="Y140">
        <v>132.1</v>
      </c>
      <c r="Z140">
        <v>129.1</v>
      </c>
      <c r="AA140">
        <v>118.2</v>
      </c>
      <c r="AB140">
        <v>126.9</v>
      </c>
      <c r="AC140">
        <v>133.69999999999999</v>
      </c>
      <c r="AD140">
        <v>123.5</v>
      </c>
      <c r="AE140">
        <v>126.1</v>
      </c>
      <c r="AF140">
        <v>133.6</v>
      </c>
      <c r="AG14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41" spans="1:33" hidden="1" x14ac:dyDescent="0.3">
      <c r="A141" t="s">
        <v>32</v>
      </c>
      <c r="B141">
        <v>2016</v>
      </c>
      <c r="C141" t="s">
        <v>43</v>
      </c>
      <c r="D141" s="10">
        <f>DATE(All_India_Index_Upto_April23__13[[#This Row],[Year]],All_India_Index_Upto_April23__13[[#This Row],[Month Number]],1)</f>
        <v>42675</v>
      </c>
      <c r="E141" s="2" t="str">
        <f>IF(All_India_Index_Upto_April23__13[[#This Row],[Date]]&lt;DATE(2020, 3, 1),"Pre-COVID","Post-COVID")</f>
        <v>Pre-COVID</v>
      </c>
      <c r="F141">
        <v>130.19999999999999</v>
      </c>
      <c r="G141">
        <v>138.5</v>
      </c>
      <c r="H141">
        <v>134.1</v>
      </c>
      <c r="I141">
        <v>132.9</v>
      </c>
      <c r="J141">
        <v>112.6</v>
      </c>
      <c r="K141">
        <v>130.80000000000001</v>
      </c>
      <c r="L141">
        <v>142</v>
      </c>
      <c r="M141">
        <v>174.9</v>
      </c>
      <c r="N141">
        <v>115.6</v>
      </c>
      <c r="O141">
        <v>145.4</v>
      </c>
      <c r="P141">
        <v>122.7</v>
      </c>
      <c r="Q141">
        <v>140.30000000000001</v>
      </c>
      <c r="R141">
        <v>135.19999999999999</v>
      </c>
      <c r="S141">
        <v>144.30000000000001</v>
      </c>
      <c r="T141">
        <v>129.6</v>
      </c>
      <c r="U141">
        <v>122.1</v>
      </c>
      <c r="V141">
        <v>128.5</v>
      </c>
      <c r="W141" s="3">
        <v>129.1</v>
      </c>
      <c r="X141">
        <v>116.2</v>
      </c>
      <c r="Y141">
        <v>124.7</v>
      </c>
      <c r="Z141">
        <v>122.1</v>
      </c>
      <c r="AA141">
        <v>113.4</v>
      </c>
      <c r="AB141">
        <v>121.7</v>
      </c>
      <c r="AC141">
        <v>132.1</v>
      </c>
      <c r="AD141">
        <v>121.3</v>
      </c>
      <c r="AE141">
        <v>121.3</v>
      </c>
      <c r="AF141">
        <v>128.5</v>
      </c>
      <c r="AG14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42" spans="1:33" x14ac:dyDescent="0.3">
      <c r="A142" t="s">
        <v>33</v>
      </c>
      <c r="B142">
        <v>2019</v>
      </c>
      <c r="C142" t="s">
        <v>39</v>
      </c>
      <c r="D142" s="10">
        <f>DATE(All_India_Index_Upto_April23__13[[#This Row],[Year]],All_India_Index_Upto_April23__13[[#This Row],[Month Number]],1)</f>
        <v>43647</v>
      </c>
      <c r="E142" s="2" t="str">
        <f>IF(All_India_Index_Upto_April23__13[[#This Row],[Date]]&lt;DATE(2020, 3, 1),"Pre-COVID","Post-COVID")</f>
        <v>Pre-COVID</v>
      </c>
      <c r="F142">
        <v>139.30000000000001</v>
      </c>
      <c r="G142">
        <v>162.69999999999999</v>
      </c>
      <c r="H142">
        <v>140</v>
      </c>
      <c r="I142">
        <v>144</v>
      </c>
      <c r="J142">
        <v>122.5</v>
      </c>
      <c r="K142">
        <v>150.30000000000001</v>
      </c>
      <c r="L142">
        <v>160.30000000000001</v>
      </c>
      <c r="M142">
        <v>130</v>
      </c>
      <c r="N142">
        <v>111.1</v>
      </c>
      <c r="O142">
        <v>141.69999999999999</v>
      </c>
      <c r="P142">
        <v>134.69999999999999</v>
      </c>
      <c r="Q142">
        <v>156.19999999999999</v>
      </c>
      <c r="R142">
        <v>144.69999999999999</v>
      </c>
      <c r="S142">
        <v>165.2</v>
      </c>
      <c r="T142">
        <v>148.9</v>
      </c>
      <c r="U142">
        <v>140.5</v>
      </c>
      <c r="V142">
        <v>147.6</v>
      </c>
      <c r="W142" s="3">
        <v>150.6</v>
      </c>
      <c r="X142">
        <v>139.30000000000001</v>
      </c>
      <c r="Y142">
        <v>144.19999999999999</v>
      </c>
      <c r="Z142">
        <v>147.9</v>
      </c>
      <c r="AA142">
        <v>125.6</v>
      </c>
      <c r="AB142">
        <v>140.5</v>
      </c>
      <c r="AC142">
        <v>154</v>
      </c>
      <c r="AD142">
        <v>135.69999999999999</v>
      </c>
      <c r="AE142">
        <v>139.5</v>
      </c>
      <c r="AF142">
        <v>144.19999999999999</v>
      </c>
      <c r="AG14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43" spans="1:33" hidden="1" x14ac:dyDescent="0.3">
      <c r="A143" t="s">
        <v>30</v>
      </c>
      <c r="B143">
        <v>2016</v>
      </c>
      <c r="C143" t="s">
        <v>44</v>
      </c>
      <c r="D143" s="10">
        <f>DATE(All_India_Index_Upto_April23__13[[#This Row],[Year]],All_India_Index_Upto_April23__13[[#This Row],[Month Number]],1)</f>
        <v>42705</v>
      </c>
      <c r="E143" s="2" t="str">
        <f>IF(All_India_Index_Upto_April23__13[[#This Row],[Date]]&lt;DATE(2020, 3, 1),"Pre-COVID","Post-COVID")</f>
        <v>Pre-COVID</v>
      </c>
      <c r="F143">
        <v>132.6</v>
      </c>
      <c r="G143">
        <v>137.30000000000001</v>
      </c>
      <c r="H143">
        <v>131.6</v>
      </c>
      <c r="I143">
        <v>136.30000000000001</v>
      </c>
      <c r="J143">
        <v>121.6</v>
      </c>
      <c r="K143">
        <v>135.6</v>
      </c>
      <c r="L143">
        <v>127.5</v>
      </c>
      <c r="M143">
        <v>167.9</v>
      </c>
      <c r="N143">
        <v>113.8</v>
      </c>
      <c r="O143">
        <v>137.5</v>
      </c>
      <c r="P143">
        <v>129.1</v>
      </c>
      <c r="Q143">
        <v>143.6</v>
      </c>
      <c r="R143">
        <v>134.69999999999999</v>
      </c>
      <c r="S143">
        <v>142.4</v>
      </c>
      <c r="T143">
        <v>140.4</v>
      </c>
      <c r="U143">
        <v>135.19999999999999</v>
      </c>
      <c r="V143">
        <v>139.69999999999999</v>
      </c>
      <c r="W143" s="3">
        <v>141</v>
      </c>
      <c r="X143">
        <v>132</v>
      </c>
      <c r="Y143">
        <v>132.9</v>
      </c>
      <c r="Z143">
        <v>129.69999999999999</v>
      </c>
      <c r="AA143">
        <v>118.6</v>
      </c>
      <c r="AB143">
        <v>127.3</v>
      </c>
      <c r="AC143">
        <v>134.19999999999999</v>
      </c>
      <c r="AD143">
        <v>121.9</v>
      </c>
      <c r="AE143">
        <v>126.3</v>
      </c>
      <c r="AF143">
        <v>132.80000000000001</v>
      </c>
      <c r="AG14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44" spans="1:33" hidden="1" x14ac:dyDescent="0.3">
      <c r="A144" t="s">
        <v>32</v>
      </c>
      <c r="B144">
        <v>2016</v>
      </c>
      <c r="C144" t="s">
        <v>44</v>
      </c>
      <c r="D144" s="10">
        <f>DATE(All_India_Index_Upto_April23__13[[#This Row],[Year]],All_India_Index_Upto_April23__13[[#This Row],[Month Number]],1)</f>
        <v>42705</v>
      </c>
      <c r="E144" s="2" t="str">
        <f>IF(All_India_Index_Upto_April23__13[[#This Row],[Date]]&lt;DATE(2020, 3, 1),"Pre-COVID","Post-COVID")</f>
        <v>Pre-COVID</v>
      </c>
      <c r="F144">
        <v>131.6</v>
      </c>
      <c r="G144">
        <v>138.19999999999999</v>
      </c>
      <c r="H144">
        <v>134.9</v>
      </c>
      <c r="I144">
        <v>133.1</v>
      </c>
      <c r="J144">
        <v>113.5</v>
      </c>
      <c r="K144">
        <v>129.30000000000001</v>
      </c>
      <c r="L144">
        <v>121.1</v>
      </c>
      <c r="M144">
        <v>170.3</v>
      </c>
      <c r="N144">
        <v>115.5</v>
      </c>
      <c r="O144">
        <v>145.5</v>
      </c>
      <c r="P144">
        <v>123.1</v>
      </c>
      <c r="Q144">
        <v>140.9</v>
      </c>
      <c r="R144">
        <v>132.80000000000001</v>
      </c>
      <c r="S144">
        <v>145</v>
      </c>
      <c r="T144">
        <v>130</v>
      </c>
      <c r="U144">
        <v>122.2</v>
      </c>
      <c r="V144">
        <v>128.80000000000001</v>
      </c>
      <c r="W144" s="3">
        <v>128.5</v>
      </c>
      <c r="X144">
        <v>117.8</v>
      </c>
      <c r="Y144">
        <v>125</v>
      </c>
      <c r="Z144">
        <v>122.3</v>
      </c>
      <c r="AA144">
        <v>113.7</v>
      </c>
      <c r="AB144">
        <v>121.8</v>
      </c>
      <c r="AC144">
        <v>132.30000000000001</v>
      </c>
      <c r="AD144">
        <v>119.9</v>
      </c>
      <c r="AE144">
        <v>121.4</v>
      </c>
      <c r="AF144">
        <v>127.6</v>
      </c>
      <c r="AG14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45" spans="1:33" x14ac:dyDescent="0.3">
      <c r="A145" t="s">
        <v>33</v>
      </c>
      <c r="B145">
        <v>2019</v>
      </c>
      <c r="C145" t="s">
        <v>38</v>
      </c>
      <c r="D145" s="10">
        <f>DATE(All_India_Index_Upto_April23__13[[#This Row],[Year]],All_India_Index_Upto_April23__13[[#This Row],[Month Number]],1)</f>
        <v>43617</v>
      </c>
      <c r="E145" s="2" t="str">
        <f>IF(All_India_Index_Upto_April23__13[[#This Row],[Date]]&lt;DATE(2020, 3, 1),"Pre-COVID","Post-COVID")</f>
        <v>Pre-COVID</v>
      </c>
      <c r="F145">
        <v>138.69999999999999</v>
      </c>
      <c r="G145">
        <v>162.1</v>
      </c>
      <c r="H145">
        <v>137.80000000000001</v>
      </c>
      <c r="I145">
        <v>143.30000000000001</v>
      </c>
      <c r="J145">
        <v>122.2</v>
      </c>
      <c r="K145">
        <v>146.80000000000001</v>
      </c>
      <c r="L145">
        <v>150.5</v>
      </c>
      <c r="M145">
        <v>128.30000000000001</v>
      </c>
      <c r="N145">
        <v>111</v>
      </c>
      <c r="O145">
        <v>140.6</v>
      </c>
      <c r="P145">
        <v>134.19999999999999</v>
      </c>
      <c r="Q145">
        <v>155.9</v>
      </c>
      <c r="R145">
        <v>142.69999999999999</v>
      </c>
      <c r="S145">
        <v>164.9</v>
      </c>
      <c r="T145">
        <v>148.6</v>
      </c>
      <c r="U145">
        <v>140.4</v>
      </c>
      <c r="V145">
        <v>147.4</v>
      </c>
      <c r="W145" s="3">
        <v>149.4</v>
      </c>
      <c r="X145">
        <v>141.19999999999999</v>
      </c>
      <c r="Y145">
        <v>143.80000000000001</v>
      </c>
      <c r="Z145">
        <v>147.4</v>
      </c>
      <c r="AA145">
        <v>124.6</v>
      </c>
      <c r="AB145">
        <v>139.6</v>
      </c>
      <c r="AC145">
        <v>152.5</v>
      </c>
      <c r="AD145">
        <v>134.30000000000001</v>
      </c>
      <c r="AE145">
        <v>138.6</v>
      </c>
      <c r="AF145">
        <v>142.9</v>
      </c>
      <c r="AG14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46" spans="1:33" hidden="1" x14ac:dyDescent="0.3">
      <c r="A146" t="s">
        <v>30</v>
      </c>
      <c r="B146">
        <v>2017</v>
      </c>
      <c r="C146" t="s">
        <v>31</v>
      </c>
      <c r="D146" s="10">
        <f>DATE(All_India_Index_Upto_April23__13[[#This Row],[Year]],All_India_Index_Upto_April23__13[[#This Row],[Month Number]],1)</f>
        <v>42736</v>
      </c>
      <c r="E146" s="2" t="str">
        <f>IF(All_India_Index_Upto_April23__13[[#This Row],[Date]]&lt;DATE(2020, 3, 1),"Pre-COVID","Post-COVID")</f>
        <v>Pre-COVID</v>
      </c>
      <c r="F146">
        <v>133.1</v>
      </c>
      <c r="G146">
        <v>137.80000000000001</v>
      </c>
      <c r="H146">
        <v>131.9</v>
      </c>
      <c r="I146">
        <v>136.69999999999999</v>
      </c>
      <c r="J146">
        <v>122</v>
      </c>
      <c r="K146">
        <v>136</v>
      </c>
      <c r="L146">
        <v>119.8</v>
      </c>
      <c r="M146">
        <v>161.69999999999999</v>
      </c>
      <c r="N146">
        <v>114.8</v>
      </c>
      <c r="O146">
        <v>136.9</v>
      </c>
      <c r="P146">
        <v>129</v>
      </c>
      <c r="Q146">
        <v>143.9</v>
      </c>
      <c r="R146">
        <v>133.69999999999999</v>
      </c>
      <c r="S146">
        <v>143.1</v>
      </c>
      <c r="T146">
        <v>140.69999999999999</v>
      </c>
      <c r="U146">
        <v>135.80000000000001</v>
      </c>
      <c r="V146">
        <v>140</v>
      </c>
      <c r="W146" s="3">
        <v>141</v>
      </c>
      <c r="X146">
        <v>132.1</v>
      </c>
      <c r="Y146">
        <v>133.19999999999999</v>
      </c>
      <c r="Z146">
        <v>129.9</v>
      </c>
      <c r="AA146">
        <v>119.1</v>
      </c>
      <c r="AB146">
        <v>127</v>
      </c>
      <c r="AC146">
        <v>134.6</v>
      </c>
      <c r="AD146">
        <v>122.3</v>
      </c>
      <c r="AE146">
        <v>126.6</v>
      </c>
      <c r="AF146">
        <v>132.4</v>
      </c>
      <c r="AG14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47" spans="1:33" hidden="1" x14ac:dyDescent="0.3">
      <c r="A147" t="s">
        <v>32</v>
      </c>
      <c r="B147">
        <v>2017</v>
      </c>
      <c r="C147" t="s">
        <v>31</v>
      </c>
      <c r="D147" s="10">
        <f>DATE(All_India_Index_Upto_April23__13[[#This Row],[Year]],All_India_Index_Upto_April23__13[[#This Row],[Month Number]],1)</f>
        <v>42736</v>
      </c>
      <c r="E147" s="2" t="str">
        <f>IF(All_India_Index_Upto_April23__13[[#This Row],[Date]]&lt;DATE(2020, 3, 1),"Pre-COVID","Post-COVID")</f>
        <v>Pre-COVID</v>
      </c>
      <c r="F147">
        <v>132.19999999999999</v>
      </c>
      <c r="G147">
        <v>138.9</v>
      </c>
      <c r="H147">
        <v>132.6</v>
      </c>
      <c r="I147">
        <v>133.1</v>
      </c>
      <c r="J147">
        <v>114</v>
      </c>
      <c r="K147">
        <v>129.6</v>
      </c>
      <c r="L147">
        <v>118.7</v>
      </c>
      <c r="M147">
        <v>155.1</v>
      </c>
      <c r="N147">
        <v>117.3</v>
      </c>
      <c r="O147">
        <v>144.9</v>
      </c>
      <c r="P147">
        <v>123.2</v>
      </c>
      <c r="Q147">
        <v>141.6</v>
      </c>
      <c r="R147">
        <v>132</v>
      </c>
      <c r="S147">
        <v>145.6</v>
      </c>
      <c r="T147">
        <v>130.19999999999999</v>
      </c>
      <c r="U147">
        <v>122.3</v>
      </c>
      <c r="V147">
        <v>129</v>
      </c>
      <c r="W147" s="3">
        <v>129.6</v>
      </c>
      <c r="X147">
        <v>118</v>
      </c>
      <c r="Y147">
        <v>125.1</v>
      </c>
      <c r="Z147">
        <v>122.6</v>
      </c>
      <c r="AA147">
        <v>115.2</v>
      </c>
      <c r="AB147">
        <v>122</v>
      </c>
      <c r="AC147">
        <v>132.4</v>
      </c>
      <c r="AD147">
        <v>120.9</v>
      </c>
      <c r="AE147">
        <v>122.1</v>
      </c>
      <c r="AF147">
        <v>127.8</v>
      </c>
      <c r="AG14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48" spans="1:33" x14ac:dyDescent="0.3">
      <c r="A148" t="s">
        <v>33</v>
      </c>
      <c r="B148">
        <v>2019</v>
      </c>
      <c r="C148" t="s">
        <v>37</v>
      </c>
      <c r="D148" s="10">
        <f>DATE(All_India_Index_Upto_April23__13[[#This Row],[Year]],All_India_Index_Upto_April23__13[[#This Row],[Month Number]],1)</f>
        <v>43586</v>
      </c>
      <c r="E148" s="2" t="str">
        <f>IF(All_India_Index_Upto_April23__13[[#This Row],[Date]]&lt;DATE(2020, 3, 1),"Pre-COVID","Post-COVID")</f>
        <v>Pre-COVID</v>
      </c>
      <c r="F148">
        <v>138.30000000000001</v>
      </c>
      <c r="G148">
        <v>158.5</v>
      </c>
      <c r="H148">
        <v>136</v>
      </c>
      <c r="I148">
        <v>142.5</v>
      </c>
      <c r="J148">
        <v>122</v>
      </c>
      <c r="K148">
        <v>146.5</v>
      </c>
      <c r="L148">
        <v>143</v>
      </c>
      <c r="M148">
        <v>124.9</v>
      </c>
      <c r="N148">
        <v>109.9</v>
      </c>
      <c r="O148">
        <v>139.9</v>
      </c>
      <c r="P148">
        <v>134</v>
      </c>
      <c r="Q148">
        <v>155.5</v>
      </c>
      <c r="R148">
        <v>140.9</v>
      </c>
      <c r="S148">
        <v>164.1</v>
      </c>
      <c r="T148">
        <v>148.4</v>
      </c>
      <c r="U148">
        <v>140.4</v>
      </c>
      <c r="V148">
        <v>147.30000000000001</v>
      </c>
      <c r="W148" s="3">
        <v>150.1</v>
      </c>
      <c r="X148">
        <v>140.30000000000001</v>
      </c>
      <c r="Y148">
        <v>143.69999999999999</v>
      </c>
      <c r="Z148">
        <v>146.9</v>
      </c>
      <c r="AA148">
        <v>124.9</v>
      </c>
      <c r="AB148">
        <v>139.19999999999999</v>
      </c>
      <c r="AC148">
        <v>151.6</v>
      </c>
      <c r="AD148">
        <v>133.4</v>
      </c>
      <c r="AE148">
        <v>138.19999999999999</v>
      </c>
      <c r="AF148">
        <v>142</v>
      </c>
      <c r="AG14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49" spans="1:33" hidden="1" x14ac:dyDescent="0.3">
      <c r="A149" t="s">
        <v>30</v>
      </c>
      <c r="B149">
        <v>2017</v>
      </c>
      <c r="C149" t="s">
        <v>34</v>
      </c>
      <c r="D149" s="10">
        <f>DATE(All_India_Index_Upto_April23__13[[#This Row],[Year]],All_India_Index_Upto_April23__13[[#This Row],[Month Number]],1)</f>
        <v>42767</v>
      </c>
      <c r="E149" s="2" t="str">
        <f>IF(All_India_Index_Upto_April23__13[[#This Row],[Date]]&lt;DATE(2020, 3, 1),"Pre-COVID","Post-COVID")</f>
        <v>Pre-COVID</v>
      </c>
      <c r="F149">
        <v>133.30000000000001</v>
      </c>
      <c r="G149">
        <v>138.30000000000001</v>
      </c>
      <c r="H149">
        <v>129.30000000000001</v>
      </c>
      <c r="I149">
        <v>137.19999999999999</v>
      </c>
      <c r="J149">
        <v>122.1</v>
      </c>
      <c r="K149">
        <v>138.69999999999999</v>
      </c>
      <c r="L149">
        <v>119.1</v>
      </c>
      <c r="M149">
        <v>156.9</v>
      </c>
      <c r="N149">
        <v>116.2</v>
      </c>
      <c r="O149">
        <v>136</v>
      </c>
      <c r="P149">
        <v>129.4</v>
      </c>
      <c r="Q149">
        <v>144.4</v>
      </c>
      <c r="R149">
        <v>133.6</v>
      </c>
      <c r="S149">
        <v>143.69999999999999</v>
      </c>
      <c r="T149">
        <v>140.9</v>
      </c>
      <c r="U149">
        <v>135.80000000000001</v>
      </c>
      <c r="V149">
        <v>140.19999999999999</v>
      </c>
      <c r="W149" s="3">
        <v>141</v>
      </c>
      <c r="X149">
        <v>133.19999999999999</v>
      </c>
      <c r="Y149">
        <v>133.6</v>
      </c>
      <c r="Z149">
        <v>130.1</v>
      </c>
      <c r="AA149">
        <v>119.5</v>
      </c>
      <c r="AB149">
        <v>127.7</v>
      </c>
      <c r="AC149">
        <v>134.9</v>
      </c>
      <c r="AD149">
        <v>123.2</v>
      </c>
      <c r="AE149">
        <v>127</v>
      </c>
      <c r="AF149">
        <v>132.6</v>
      </c>
      <c r="AG14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50" spans="1:33" hidden="1" x14ac:dyDescent="0.3">
      <c r="A150" t="s">
        <v>32</v>
      </c>
      <c r="B150">
        <v>2017</v>
      </c>
      <c r="C150" t="s">
        <v>34</v>
      </c>
      <c r="D150" s="10">
        <f>DATE(All_India_Index_Upto_April23__13[[#This Row],[Year]],All_India_Index_Upto_April23__13[[#This Row],[Month Number]],1)</f>
        <v>42767</v>
      </c>
      <c r="E150" s="2" t="str">
        <f>IF(All_India_Index_Upto_April23__13[[#This Row],[Date]]&lt;DATE(2020, 3, 1),"Pre-COVID","Post-COVID")</f>
        <v>Pre-COVID</v>
      </c>
      <c r="F150">
        <v>132.80000000000001</v>
      </c>
      <c r="G150">
        <v>139.80000000000001</v>
      </c>
      <c r="H150">
        <v>129.30000000000001</v>
      </c>
      <c r="I150">
        <v>133.5</v>
      </c>
      <c r="J150">
        <v>114.3</v>
      </c>
      <c r="K150">
        <v>131.4</v>
      </c>
      <c r="L150">
        <v>120.2</v>
      </c>
      <c r="M150">
        <v>143.1</v>
      </c>
      <c r="N150">
        <v>119.5</v>
      </c>
      <c r="O150">
        <v>144</v>
      </c>
      <c r="P150">
        <v>123.4</v>
      </c>
      <c r="Q150">
        <v>141.9</v>
      </c>
      <c r="R150">
        <v>132.1</v>
      </c>
      <c r="S150">
        <v>146.30000000000001</v>
      </c>
      <c r="T150">
        <v>130.5</v>
      </c>
      <c r="U150">
        <v>122.5</v>
      </c>
      <c r="V150">
        <v>129.30000000000001</v>
      </c>
      <c r="W150" s="3">
        <v>130.5</v>
      </c>
      <c r="X150">
        <v>119.2</v>
      </c>
      <c r="Y150">
        <v>125.3</v>
      </c>
      <c r="Z150">
        <v>122.9</v>
      </c>
      <c r="AA150">
        <v>115.5</v>
      </c>
      <c r="AB150">
        <v>122.2</v>
      </c>
      <c r="AC150">
        <v>132.4</v>
      </c>
      <c r="AD150">
        <v>121.7</v>
      </c>
      <c r="AE150">
        <v>122.4</v>
      </c>
      <c r="AF150">
        <v>128.19999999999999</v>
      </c>
      <c r="AG15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51" spans="1:33" x14ac:dyDescent="0.3">
      <c r="A151" t="s">
        <v>33</v>
      </c>
      <c r="B151">
        <v>2019</v>
      </c>
      <c r="C151" t="s">
        <v>35</v>
      </c>
      <c r="D151" s="10">
        <f>DATE(All_India_Index_Upto_April23__13[[#This Row],[Year]],All_India_Index_Upto_April23__13[[#This Row],[Month Number]],1)</f>
        <v>43525</v>
      </c>
      <c r="E151" s="2" t="str">
        <f>IF(All_India_Index_Upto_April23__13[[#This Row],[Date]]&lt;DATE(2020, 3, 1),"Pre-COVID","Post-COVID")</f>
        <v>Pre-COVID</v>
      </c>
      <c r="F151">
        <v>137.80000000000001</v>
      </c>
      <c r="G151">
        <v>153</v>
      </c>
      <c r="H151">
        <v>140.30000000000001</v>
      </c>
      <c r="I151">
        <v>142.30000000000001</v>
      </c>
      <c r="J151">
        <v>122</v>
      </c>
      <c r="K151">
        <v>137.6</v>
      </c>
      <c r="L151">
        <v>132.6</v>
      </c>
      <c r="M151">
        <v>121.8</v>
      </c>
      <c r="N151">
        <v>109</v>
      </c>
      <c r="O151">
        <v>139.5</v>
      </c>
      <c r="P151">
        <v>133.69999999999999</v>
      </c>
      <c r="Q151">
        <v>155.19999999999999</v>
      </c>
      <c r="R151">
        <v>138.1</v>
      </c>
      <c r="S151">
        <v>163.5</v>
      </c>
      <c r="T151">
        <v>147.9</v>
      </c>
      <c r="U151">
        <v>139.9</v>
      </c>
      <c r="V151">
        <v>146.69999999999999</v>
      </c>
      <c r="W151" s="3">
        <v>149</v>
      </c>
      <c r="X151">
        <v>139.69999999999999</v>
      </c>
      <c r="Y151">
        <v>143.80000000000001</v>
      </c>
      <c r="Z151">
        <v>146.19999999999999</v>
      </c>
      <c r="AA151">
        <v>124.6</v>
      </c>
      <c r="AB151">
        <v>137.69999999999999</v>
      </c>
      <c r="AC151">
        <v>150.30000000000001</v>
      </c>
      <c r="AD151">
        <v>133.4</v>
      </c>
      <c r="AE151">
        <v>137.69999999999999</v>
      </c>
      <c r="AF151">
        <v>140.4</v>
      </c>
      <c r="AG15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52" spans="1:33" hidden="1" x14ac:dyDescent="0.3">
      <c r="A152" t="s">
        <v>30</v>
      </c>
      <c r="B152">
        <v>2017</v>
      </c>
      <c r="C152" t="s">
        <v>35</v>
      </c>
      <c r="D152" s="10">
        <f>DATE(All_India_Index_Upto_April23__13[[#This Row],[Year]],All_India_Index_Upto_April23__13[[#This Row],[Month Number]],1)</f>
        <v>42795</v>
      </c>
      <c r="E152" s="2" t="str">
        <f>IF(All_India_Index_Upto_April23__13[[#This Row],[Date]]&lt;DATE(2020, 3, 1),"Pre-COVID","Post-COVID")</f>
        <v>Pre-COVID</v>
      </c>
      <c r="F152">
        <v>133.6</v>
      </c>
      <c r="G152">
        <v>138.80000000000001</v>
      </c>
      <c r="H152">
        <v>128.80000000000001</v>
      </c>
      <c r="I152">
        <v>137.19999999999999</v>
      </c>
      <c r="J152">
        <v>121.6</v>
      </c>
      <c r="K152">
        <v>139.69999999999999</v>
      </c>
      <c r="L152">
        <v>119.7</v>
      </c>
      <c r="M152">
        <v>148</v>
      </c>
      <c r="N152">
        <v>116.9</v>
      </c>
      <c r="O152">
        <v>135.6</v>
      </c>
      <c r="P152">
        <v>129.80000000000001</v>
      </c>
      <c r="Q152">
        <v>145.4</v>
      </c>
      <c r="R152">
        <v>133.4</v>
      </c>
      <c r="S152">
        <v>144.19999999999999</v>
      </c>
      <c r="T152">
        <v>141.6</v>
      </c>
      <c r="U152">
        <v>136.19999999999999</v>
      </c>
      <c r="V152">
        <v>140.80000000000001</v>
      </c>
      <c r="W152" s="3">
        <v>141</v>
      </c>
      <c r="X152">
        <v>134.19999999999999</v>
      </c>
      <c r="Y152">
        <v>134.1</v>
      </c>
      <c r="Z152">
        <v>130.6</v>
      </c>
      <c r="AA152">
        <v>119.8</v>
      </c>
      <c r="AB152">
        <v>128.30000000000001</v>
      </c>
      <c r="AC152">
        <v>135.19999999999999</v>
      </c>
      <c r="AD152">
        <v>123.3</v>
      </c>
      <c r="AE152">
        <v>127.4</v>
      </c>
      <c r="AF152">
        <v>132.80000000000001</v>
      </c>
      <c r="AG15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53" spans="1:33" hidden="1" x14ac:dyDescent="0.3">
      <c r="A153" t="s">
        <v>32</v>
      </c>
      <c r="B153">
        <v>2017</v>
      </c>
      <c r="C153" t="s">
        <v>35</v>
      </c>
      <c r="D153" s="10">
        <f>DATE(All_India_Index_Upto_April23__13[[#This Row],[Year]],All_India_Index_Upto_April23__13[[#This Row],[Month Number]],1)</f>
        <v>42795</v>
      </c>
      <c r="E153" s="2" t="str">
        <f>IF(All_India_Index_Upto_April23__13[[#This Row],[Date]]&lt;DATE(2020, 3, 1),"Pre-COVID","Post-COVID")</f>
        <v>Pre-COVID</v>
      </c>
      <c r="F153">
        <v>132.69999999999999</v>
      </c>
      <c r="G153">
        <v>139.4</v>
      </c>
      <c r="H153">
        <v>128.4</v>
      </c>
      <c r="I153">
        <v>134.9</v>
      </c>
      <c r="J153">
        <v>114</v>
      </c>
      <c r="K153">
        <v>136.80000000000001</v>
      </c>
      <c r="L153">
        <v>122.2</v>
      </c>
      <c r="M153">
        <v>135.80000000000001</v>
      </c>
      <c r="N153">
        <v>120.3</v>
      </c>
      <c r="O153">
        <v>142.6</v>
      </c>
      <c r="P153">
        <v>123.6</v>
      </c>
      <c r="Q153">
        <v>142.4</v>
      </c>
      <c r="R153">
        <v>132.6</v>
      </c>
      <c r="S153">
        <v>147.5</v>
      </c>
      <c r="T153">
        <v>130.80000000000001</v>
      </c>
      <c r="U153">
        <v>122.8</v>
      </c>
      <c r="V153">
        <v>129.6</v>
      </c>
      <c r="W153" s="3">
        <v>131.1</v>
      </c>
      <c r="X153">
        <v>120.8</v>
      </c>
      <c r="Y153">
        <v>125.6</v>
      </c>
      <c r="Z153">
        <v>123.1</v>
      </c>
      <c r="AA153">
        <v>115.6</v>
      </c>
      <c r="AB153">
        <v>122.4</v>
      </c>
      <c r="AC153">
        <v>132.80000000000001</v>
      </c>
      <c r="AD153">
        <v>121.7</v>
      </c>
      <c r="AE153">
        <v>122.6</v>
      </c>
      <c r="AF153">
        <v>128.69999999999999</v>
      </c>
      <c r="AG15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54" spans="1:33" x14ac:dyDescent="0.3">
      <c r="A154" t="s">
        <v>33</v>
      </c>
      <c r="B154">
        <v>2019</v>
      </c>
      <c r="C154" t="s">
        <v>34</v>
      </c>
      <c r="D154" s="10">
        <f>DATE(All_India_Index_Upto_April23__13[[#This Row],[Year]],All_India_Index_Upto_April23__13[[#This Row],[Month Number]],1)</f>
        <v>43497</v>
      </c>
      <c r="E154" s="2" t="str">
        <f>IF(All_India_Index_Upto_April23__13[[#This Row],[Date]]&lt;DATE(2020, 3, 1),"Pre-COVID","Post-COVID")</f>
        <v>Pre-COVID</v>
      </c>
      <c r="F154">
        <v>137.6</v>
      </c>
      <c r="G154">
        <v>152</v>
      </c>
      <c r="H154">
        <v>141.5</v>
      </c>
      <c r="I154">
        <v>142.19999999999999</v>
      </c>
      <c r="J154">
        <v>122</v>
      </c>
      <c r="K154">
        <v>136.4</v>
      </c>
      <c r="L154">
        <v>129.69999999999999</v>
      </c>
      <c r="M154">
        <v>121</v>
      </c>
      <c r="N154">
        <v>109</v>
      </c>
      <c r="O154">
        <v>139.69999999999999</v>
      </c>
      <c r="P154">
        <v>133.6</v>
      </c>
      <c r="Q154">
        <v>154.9</v>
      </c>
      <c r="R154">
        <v>137.5</v>
      </c>
      <c r="S154">
        <v>163.4</v>
      </c>
      <c r="T154">
        <v>147.69999999999999</v>
      </c>
      <c r="U154">
        <v>139.69999999999999</v>
      </c>
      <c r="V154">
        <v>146.5</v>
      </c>
      <c r="W154" s="3">
        <v>148.5</v>
      </c>
      <c r="X154">
        <v>138.4</v>
      </c>
      <c r="Y154">
        <v>143.69999999999999</v>
      </c>
      <c r="Z154">
        <v>145.6</v>
      </c>
      <c r="AA154">
        <v>123.9</v>
      </c>
      <c r="AB154">
        <v>137.1</v>
      </c>
      <c r="AC154">
        <v>150.30000000000001</v>
      </c>
      <c r="AD154">
        <v>134.1</v>
      </c>
      <c r="AE154">
        <v>137.4</v>
      </c>
      <c r="AF154">
        <v>139.9</v>
      </c>
      <c r="AG15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55" spans="1:33" hidden="1" x14ac:dyDescent="0.3">
      <c r="A155" t="s">
        <v>30</v>
      </c>
      <c r="B155">
        <v>2017</v>
      </c>
      <c r="C155" t="s">
        <v>36</v>
      </c>
      <c r="D155" s="10">
        <f>DATE(All_India_Index_Upto_April23__13[[#This Row],[Year]],All_India_Index_Upto_April23__13[[#This Row],[Month Number]],1)</f>
        <v>42826</v>
      </c>
      <c r="E155" s="2" t="str">
        <f>IF(All_India_Index_Upto_April23__13[[#This Row],[Date]]&lt;DATE(2020, 3, 1),"Pre-COVID","Post-COVID")</f>
        <v>Pre-COVID</v>
      </c>
      <c r="F155">
        <v>133.19999999999999</v>
      </c>
      <c r="G155">
        <v>138.69999999999999</v>
      </c>
      <c r="H155">
        <v>127.1</v>
      </c>
      <c r="I155">
        <v>137.69999999999999</v>
      </c>
      <c r="J155">
        <v>121.3</v>
      </c>
      <c r="K155">
        <v>141.80000000000001</v>
      </c>
      <c r="L155">
        <v>121.5</v>
      </c>
      <c r="M155">
        <v>144.5</v>
      </c>
      <c r="N155">
        <v>117.4</v>
      </c>
      <c r="O155">
        <v>134.1</v>
      </c>
      <c r="P155">
        <v>130</v>
      </c>
      <c r="Q155">
        <v>145.5</v>
      </c>
      <c r="R155">
        <v>133.5</v>
      </c>
      <c r="S155">
        <v>144.4</v>
      </c>
      <c r="T155">
        <v>142.4</v>
      </c>
      <c r="U155">
        <v>136.80000000000001</v>
      </c>
      <c r="V155">
        <v>141.6</v>
      </c>
      <c r="W155" s="3">
        <v>141</v>
      </c>
      <c r="X155">
        <v>135</v>
      </c>
      <c r="Y155">
        <v>134.30000000000001</v>
      </c>
      <c r="Z155">
        <v>131</v>
      </c>
      <c r="AA155">
        <v>119.2</v>
      </c>
      <c r="AB155">
        <v>128.30000000000001</v>
      </c>
      <c r="AC155">
        <v>135.69999999999999</v>
      </c>
      <c r="AD155">
        <v>123.7</v>
      </c>
      <c r="AE155">
        <v>127.5</v>
      </c>
      <c r="AF155">
        <v>132.9</v>
      </c>
      <c r="AG15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56" spans="1:33" hidden="1" x14ac:dyDescent="0.3">
      <c r="A156" t="s">
        <v>32</v>
      </c>
      <c r="B156">
        <v>2017</v>
      </c>
      <c r="C156" t="s">
        <v>36</v>
      </c>
      <c r="D156" s="10">
        <f>DATE(All_India_Index_Upto_April23__13[[#This Row],[Year]],All_India_Index_Upto_April23__13[[#This Row],[Month Number]],1)</f>
        <v>42826</v>
      </c>
      <c r="E156" s="2" t="str">
        <f>IF(All_India_Index_Upto_April23__13[[#This Row],[Date]]&lt;DATE(2020, 3, 1),"Pre-COVID","Post-COVID")</f>
        <v>Pre-COVID</v>
      </c>
      <c r="F156">
        <v>132.69999999999999</v>
      </c>
      <c r="G156">
        <v>140.6</v>
      </c>
      <c r="H156">
        <v>124.5</v>
      </c>
      <c r="I156">
        <v>136.30000000000001</v>
      </c>
      <c r="J156">
        <v>113.5</v>
      </c>
      <c r="K156">
        <v>137.69999999999999</v>
      </c>
      <c r="L156">
        <v>127.1</v>
      </c>
      <c r="M156">
        <v>133.80000000000001</v>
      </c>
      <c r="N156">
        <v>120.8</v>
      </c>
      <c r="O156">
        <v>141.30000000000001</v>
      </c>
      <c r="P156">
        <v>123.8</v>
      </c>
      <c r="Q156">
        <v>142.6</v>
      </c>
      <c r="R156">
        <v>133.4</v>
      </c>
      <c r="S156">
        <v>148</v>
      </c>
      <c r="T156">
        <v>131.19999999999999</v>
      </c>
      <c r="U156">
        <v>123</v>
      </c>
      <c r="V156">
        <v>130</v>
      </c>
      <c r="W156" s="3">
        <v>131.69999999999999</v>
      </c>
      <c r="X156">
        <v>121.4</v>
      </c>
      <c r="Y156">
        <v>126</v>
      </c>
      <c r="Z156">
        <v>123.4</v>
      </c>
      <c r="AA156">
        <v>114.3</v>
      </c>
      <c r="AB156">
        <v>122.6</v>
      </c>
      <c r="AC156">
        <v>133.6</v>
      </c>
      <c r="AD156">
        <v>122.2</v>
      </c>
      <c r="AE156">
        <v>122.5</v>
      </c>
      <c r="AF156">
        <v>129.1</v>
      </c>
      <c r="AG15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57" spans="1:33" x14ac:dyDescent="0.3">
      <c r="A157" t="s">
        <v>33</v>
      </c>
      <c r="B157">
        <v>2019</v>
      </c>
      <c r="C157" t="s">
        <v>31</v>
      </c>
      <c r="D157" s="10">
        <f>DATE(All_India_Index_Upto_April23__13[[#This Row],[Year]],All_India_Index_Upto_April23__13[[#This Row],[Month Number]],1)</f>
        <v>43466</v>
      </c>
      <c r="E157" s="2" t="str">
        <f>IF(All_India_Index_Upto_April23__13[[#This Row],[Date]]&lt;DATE(2020, 3, 1),"Pre-COVID","Post-COVID")</f>
        <v>Pre-COVID</v>
      </c>
      <c r="F157">
        <v>137.1</v>
      </c>
      <c r="G157">
        <v>151.4</v>
      </c>
      <c r="H157">
        <v>140.19999999999999</v>
      </c>
      <c r="I157">
        <v>142.1</v>
      </c>
      <c r="J157">
        <v>121.8</v>
      </c>
      <c r="K157">
        <v>135.4</v>
      </c>
      <c r="L157">
        <v>131.30000000000001</v>
      </c>
      <c r="M157">
        <v>120.3</v>
      </c>
      <c r="N157">
        <v>109.1</v>
      </c>
      <c r="O157">
        <v>139.4</v>
      </c>
      <c r="P157">
        <v>133.30000000000001</v>
      </c>
      <c r="Q157">
        <v>154.6</v>
      </c>
      <c r="R157">
        <v>137.4</v>
      </c>
      <c r="S157">
        <v>163.19999999999999</v>
      </c>
      <c r="T157">
        <v>147.6</v>
      </c>
      <c r="U157">
        <v>139</v>
      </c>
      <c r="V157">
        <v>146.4</v>
      </c>
      <c r="W157" s="3">
        <v>147.69999999999999</v>
      </c>
      <c r="X157">
        <v>139.5</v>
      </c>
      <c r="Y157">
        <v>143.6</v>
      </c>
      <c r="Z157">
        <v>145.1</v>
      </c>
      <c r="AA157">
        <v>123.3</v>
      </c>
      <c r="AB157">
        <v>136.69999999999999</v>
      </c>
      <c r="AC157">
        <v>150.19999999999999</v>
      </c>
      <c r="AD157">
        <v>132.80000000000001</v>
      </c>
      <c r="AE157">
        <v>136.9</v>
      </c>
      <c r="AF157">
        <v>139.6</v>
      </c>
      <c r="AG15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58" spans="1:33" hidden="1" x14ac:dyDescent="0.3">
      <c r="A158" t="s">
        <v>30</v>
      </c>
      <c r="B158">
        <v>2017</v>
      </c>
      <c r="C158" t="s">
        <v>37</v>
      </c>
      <c r="D158" s="10">
        <f>DATE(All_India_Index_Upto_April23__13[[#This Row],[Year]],All_India_Index_Upto_April23__13[[#This Row],[Month Number]],1)</f>
        <v>42856</v>
      </c>
      <c r="E158" s="2" t="str">
        <f>IF(All_India_Index_Upto_April23__13[[#This Row],[Date]]&lt;DATE(2020, 3, 1),"Pre-COVID","Post-COVID")</f>
        <v>Pre-COVID</v>
      </c>
      <c r="F158">
        <v>133.1</v>
      </c>
      <c r="G158">
        <v>140.30000000000001</v>
      </c>
      <c r="H158">
        <v>126.8</v>
      </c>
      <c r="I158">
        <v>138.19999999999999</v>
      </c>
      <c r="J158">
        <v>120.8</v>
      </c>
      <c r="K158">
        <v>140.19999999999999</v>
      </c>
      <c r="L158">
        <v>123.8</v>
      </c>
      <c r="M158">
        <v>141.80000000000001</v>
      </c>
      <c r="N158">
        <v>118.6</v>
      </c>
      <c r="O158">
        <v>134</v>
      </c>
      <c r="P158">
        <v>130.30000000000001</v>
      </c>
      <c r="Q158">
        <v>145.80000000000001</v>
      </c>
      <c r="R158">
        <v>133.80000000000001</v>
      </c>
      <c r="S158">
        <v>145.5</v>
      </c>
      <c r="T158">
        <v>142.5</v>
      </c>
      <c r="U158">
        <v>137.30000000000001</v>
      </c>
      <c r="V158">
        <v>141.80000000000001</v>
      </c>
      <c r="W158" s="3">
        <v>141</v>
      </c>
      <c r="X158">
        <v>135</v>
      </c>
      <c r="Y158">
        <v>134.9</v>
      </c>
      <c r="Z158">
        <v>131.4</v>
      </c>
      <c r="AA158">
        <v>119.4</v>
      </c>
      <c r="AB158">
        <v>129.4</v>
      </c>
      <c r="AC158">
        <v>136.30000000000001</v>
      </c>
      <c r="AD158">
        <v>123.7</v>
      </c>
      <c r="AE158">
        <v>127.9</v>
      </c>
      <c r="AF158">
        <v>133.30000000000001</v>
      </c>
      <c r="AG15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59" spans="1:33" hidden="1" x14ac:dyDescent="0.3">
      <c r="A159" t="s">
        <v>32</v>
      </c>
      <c r="B159">
        <v>2017</v>
      </c>
      <c r="C159" t="s">
        <v>37</v>
      </c>
      <c r="D159" s="10">
        <f>DATE(All_India_Index_Upto_April23__13[[#This Row],[Year]],All_India_Index_Upto_April23__13[[#This Row],[Month Number]],1)</f>
        <v>42856</v>
      </c>
      <c r="E159" s="2" t="str">
        <f>IF(All_India_Index_Upto_April23__13[[#This Row],[Date]]&lt;DATE(2020, 3, 1),"Pre-COVID","Post-COVID")</f>
        <v>Pre-COVID</v>
      </c>
      <c r="F159">
        <v>132.6</v>
      </c>
      <c r="G159">
        <v>144.1</v>
      </c>
      <c r="H159">
        <v>125.6</v>
      </c>
      <c r="I159">
        <v>136.80000000000001</v>
      </c>
      <c r="J159">
        <v>113.4</v>
      </c>
      <c r="K159">
        <v>135.19999999999999</v>
      </c>
      <c r="L159">
        <v>129.19999999999999</v>
      </c>
      <c r="M159">
        <v>131.5</v>
      </c>
      <c r="N159">
        <v>121</v>
      </c>
      <c r="O159">
        <v>139.9</v>
      </c>
      <c r="P159">
        <v>123.8</v>
      </c>
      <c r="Q159">
        <v>142.9</v>
      </c>
      <c r="R159">
        <v>133.6</v>
      </c>
      <c r="S159">
        <v>148.30000000000001</v>
      </c>
      <c r="T159">
        <v>131.5</v>
      </c>
      <c r="U159">
        <v>123.2</v>
      </c>
      <c r="V159">
        <v>130.19999999999999</v>
      </c>
      <c r="W159" s="3">
        <v>132.1</v>
      </c>
      <c r="X159">
        <v>120.1</v>
      </c>
      <c r="Y159">
        <v>126.5</v>
      </c>
      <c r="Z159">
        <v>123.6</v>
      </c>
      <c r="AA159">
        <v>114.3</v>
      </c>
      <c r="AB159">
        <v>122.8</v>
      </c>
      <c r="AC159">
        <v>133.80000000000001</v>
      </c>
      <c r="AD159">
        <v>122</v>
      </c>
      <c r="AE159">
        <v>122.6</v>
      </c>
      <c r="AF159">
        <v>129.30000000000001</v>
      </c>
      <c r="AG15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60" spans="1:33" x14ac:dyDescent="0.3">
      <c r="A160" t="s">
        <v>33</v>
      </c>
      <c r="B160">
        <v>2018</v>
      </c>
      <c r="C160" t="s">
        <v>44</v>
      </c>
      <c r="D160" s="10">
        <f>DATE(All_India_Index_Upto_April23__13[[#This Row],[Year]],All_India_Index_Upto_April23__13[[#This Row],[Month Number]],1)</f>
        <v>43435</v>
      </c>
      <c r="E160" s="2" t="str">
        <f>IF(All_India_Index_Upto_April23__13[[#This Row],[Date]]&lt;DATE(2020, 3, 1),"Pre-COVID","Post-COVID")</f>
        <v>Pre-COVID</v>
      </c>
      <c r="F160">
        <v>137.5</v>
      </c>
      <c r="G160">
        <v>150.5</v>
      </c>
      <c r="H160">
        <v>138.80000000000001</v>
      </c>
      <c r="I160">
        <v>142.1</v>
      </c>
      <c r="J160">
        <v>122</v>
      </c>
      <c r="K160">
        <v>139.4</v>
      </c>
      <c r="L160">
        <v>135.19999999999999</v>
      </c>
      <c r="M160">
        <v>119.8</v>
      </c>
      <c r="N160">
        <v>110.3</v>
      </c>
      <c r="O160">
        <v>140.6</v>
      </c>
      <c r="P160">
        <v>133.80000000000001</v>
      </c>
      <c r="Q160">
        <v>154.6</v>
      </c>
      <c r="R160">
        <v>138.19999999999999</v>
      </c>
      <c r="S160">
        <v>163</v>
      </c>
      <c r="T160">
        <v>148.1</v>
      </c>
      <c r="U160">
        <v>139.4</v>
      </c>
      <c r="V160">
        <v>146.80000000000001</v>
      </c>
      <c r="W160" s="3">
        <v>146.5</v>
      </c>
      <c r="X160">
        <v>142.69999999999999</v>
      </c>
      <c r="Y160">
        <v>143.19999999999999</v>
      </c>
      <c r="Z160">
        <v>144.9</v>
      </c>
      <c r="AA160">
        <v>123.6</v>
      </c>
      <c r="AB160">
        <v>136.80000000000001</v>
      </c>
      <c r="AC160">
        <v>150.1</v>
      </c>
      <c r="AD160">
        <v>132.19999999999999</v>
      </c>
      <c r="AE160">
        <v>136.80000000000001</v>
      </c>
      <c r="AF160">
        <v>140.1</v>
      </c>
      <c r="AG16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61" spans="1:33" hidden="1" x14ac:dyDescent="0.3">
      <c r="A161" t="s">
        <v>30</v>
      </c>
      <c r="B161">
        <v>2017</v>
      </c>
      <c r="C161" t="s">
        <v>38</v>
      </c>
      <c r="D161" s="10">
        <f>DATE(All_India_Index_Upto_April23__13[[#This Row],[Year]],All_India_Index_Upto_April23__13[[#This Row],[Month Number]],1)</f>
        <v>42887</v>
      </c>
      <c r="E161" s="2" t="str">
        <f>IF(All_India_Index_Upto_April23__13[[#This Row],[Date]]&lt;DATE(2020, 3, 1),"Pre-COVID","Post-COVID")</f>
        <v>Pre-COVID</v>
      </c>
      <c r="F161">
        <v>133.5</v>
      </c>
      <c r="G161">
        <v>143.69999999999999</v>
      </c>
      <c r="H161">
        <v>128</v>
      </c>
      <c r="I161">
        <v>138.6</v>
      </c>
      <c r="J161">
        <v>120.9</v>
      </c>
      <c r="K161">
        <v>140.9</v>
      </c>
      <c r="L161">
        <v>128.80000000000001</v>
      </c>
      <c r="M161">
        <v>140.19999999999999</v>
      </c>
      <c r="N161">
        <v>118.9</v>
      </c>
      <c r="O161">
        <v>133.5</v>
      </c>
      <c r="P161">
        <v>130.4</v>
      </c>
      <c r="Q161">
        <v>146.5</v>
      </c>
      <c r="R161">
        <v>134.9</v>
      </c>
      <c r="S161">
        <v>145.80000000000001</v>
      </c>
      <c r="T161">
        <v>143.1</v>
      </c>
      <c r="U161">
        <v>137.69999999999999</v>
      </c>
      <c r="V161">
        <v>142.30000000000001</v>
      </c>
      <c r="W161" s="3">
        <v>141</v>
      </c>
      <c r="X161">
        <v>134.80000000000001</v>
      </c>
      <c r="Y161">
        <v>135.19999999999999</v>
      </c>
      <c r="Z161">
        <v>131.30000000000001</v>
      </c>
      <c r="AA161">
        <v>119.4</v>
      </c>
      <c r="AB161">
        <v>129.80000000000001</v>
      </c>
      <c r="AC161">
        <v>136.9</v>
      </c>
      <c r="AD161">
        <v>124.1</v>
      </c>
      <c r="AE161">
        <v>128.1</v>
      </c>
      <c r="AF161">
        <v>133.9</v>
      </c>
      <c r="AG16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62" spans="1:33" hidden="1" x14ac:dyDescent="0.3">
      <c r="A162" t="s">
        <v>32</v>
      </c>
      <c r="B162">
        <v>2017</v>
      </c>
      <c r="C162" t="s">
        <v>38</v>
      </c>
      <c r="D162" s="10">
        <f>DATE(All_India_Index_Upto_April23__13[[#This Row],[Year]],All_India_Index_Upto_April23__13[[#This Row],[Month Number]],1)</f>
        <v>42887</v>
      </c>
      <c r="E162" s="2" t="str">
        <f>IF(All_India_Index_Upto_April23__13[[#This Row],[Date]]&lt;DATE(2020, 3, 1),"Pre-COVID","Post-COVID")</f>
        <v>Pre-COVID</v>
      </c>
      <c r="F162">
        <v>132.9</v>
      </c>
      <c r="G162">
        <v>148.69999999999999</v>
      </c>
      <c r="H162">
        <v>128.30000000000001</v>
      </c>
      <c r="I162">
        <v>137.30000000000001</v>
      </c>
      <c r="J162">
        <v>113.5</v>
      </c>
      <c r="K162">
        <v>137.19999999999999</v>
      </c>
      <c r="L162">
        <v>142.19999999999999</v>
      </c>
      <c r="M162">
        <v>128.19999999999999</v>
      </c>
      <c r="N162">
        <v>120.9</v>
      </c>
      <c r="O162">
        <v>138.80000000000001</v>
      </c>
      <c r="P162">
        <v>124.2</v>
      </c>
      <c r="Q162">
        <v>143.1</v>
      </c>
      <c r="R162">
        <v>135.69999999999999</v>
      </c>
      <c r="S162">
        <v>148.6</v>
      </c>
      <c r="T162">
        <v>131.5</v>
      </c>
      <c r="U162">
        <v>123.2</v>
      </c>
      <c r="V162">
        <v>130.19999999999999</v>
      </c>
      <c r="W162" s="3">
        <v>131.4</v>
      </c>
      <c r="X162">
        <v>119</v>
      </c>
      <c r="Y162">
        <v>126.8</v>
      </c>
      <c r="Z162">
        <v>123.8</v>
      </c>
      <c r="AA162">
        <v>113.9</v>
      </c>
      <c r="AB162">
        <v>122.9</v>
      </c>
      <c r="AC162">
        <v>134.30000000000001</v>
      </c>
      <c r="AD162">
        <v>122.5</v>
      </c>
      <c r="AE162">
        <v>122.7</v>
      </c>
      <c r="AF162">
        <v>129.9</v>
      </c>
      <c r="AG16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63" spans="1:33" x14ac:dyDescent="0.3">
      <c r="A163" t="s">
        <v>33</v>
      </c>
      <c r="B163">
        <v>2018</v>
      </c>
      <c r="C163" t="s">
        <v>43</v>
      </c>
      <c r="D163" s="10">
        <f>DATE(All_India_Index_Upto_April23__13[[#This Row],[Year]],All_India_Index_Upto_April23__13[[#This Row],[Month Number]],1)</f>
        <v>43405</v>
      </c>
      <c r="E163" s="2" t="str">
        <f>IF(All_India_Index_Upto_April23__13[[#This Row],[Date]]&lt;DATE(2020, 3, 1),"Pre-COVID","Post-COVID")</f>
        <v>Pre-COVID</v>
      </c>
      <c r="F163">
        <v>137.4</v>
      </c>
      <c r="G163">
        <v>149.19999999999999</v>
      </c>
      <c r="H163">
        <v>137.1</v>
      </c>
      <c r="I163">
        <v>141.80000000000001</v>
      </c>
      <c r="J163">
        <v>121.1</v>
      </c>
      <c r="K163">
        <v>142.80000000000001</v>
      </c>
      <c r="L163">
        <v>146.69999999999999</v>
      </c>
      <c r="M163">
        <v>119.1</v>
      </c>
      <c r="N163">
        <v>111.9</v>
      </c>
      <c r="O163">
        <v>140.9</v>
      </c>
      <c r="P163">
        <v>133.5</v>
      </c>
      <c r="Q163">
        <v>154.5</v>
      </c>
      <c r="R163">
        <v>139.69999999999999</v>
      </c>
      <c r="S163">
        <v>162.6</v>
      </c>
      <c r="T163">
        <v>148</v>
      </c>
      <c r="U163">
        <v>139.1</v>
      </c>
      <c r="V163">
        <v>146.69999999999999</v>
      </c>
      <c r="W163" s="3">
        <v>146.9</v>
      </c>
      <c r="X163">
        <v>145.1</v>
      </c>
      <c r="Y163">
        <v>142.19999999999999</v>
      </c>
      <c r="Z163">
        <v>142.1</v>
      </c>
      <c r="AA163">
        <v>125.5</v>
      </c>
      <c r="AB163">
        <v>136.5</v>
      </c>
      <c r="AC163">
        <v>147.80000000000001</v>
      </c>
      <c r="AD163">
        <v>132</v>
      </c>
      <c r="AE163">
        <v>136.30000000000001</v>
      </c>
      <c r="AF163">
        <v>140.80000000000001</v>
      </c>
      <c r="AG16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64" spans="1:33" hidden="1" x14ac:dyDescent="0.3">
      <c r="A164" t="s">
        <v>30</v>
      </c>
      <c r="B164">
        <v>2017</v>
      </c>
      <c r="C164" t="s">
        <v>39</v>
      </c>
      <c r="D164" s="10">
        <f>DATE(All_India_Index_Upto_April23__13[[#This Row],[Year]],All_India_Index_Upto_April23__13[[#This Row],[Month Number]],1)</f>
        <v>42917</v>
      </c>
      <c r="E164" s="2" t="str">
        <f>IF(All_India_Index_Upto_April23__13[[#This Row],[Date]]&lt;DATE(2020, 3, 1),"Pre-COVID","Post-COVID")</f>
        <v>Pre-COVID</v>
      </c>
      <c r="F164">
        <v>134</v>
      </c>
      <c r="G164">
        <v>144.19999999999999</v>
      </c>
      <c r="H164">
        <v>129.80000000000001</v>
      </c>
      <c r="I164">
        <v>139</v>
      </c>
      <c r="J164">
        <v>120.9</v>
      </c>
      <c r="K164">
        <v>143.9</v>
      </c>
      <c r="L164">
        <v>151.5</v>
      </c>
      <c r="M164">
        <v>138.1</v>
      </c>
      <c r="N164">
        <v>120</v>
      </c>
      <c r="O164">
        <v>133.9</v>
      </c>
      <c r="P164">
        <v>131.4</v>
      </c>
      <c r="Q164">
        <v>147.69999999999999</v>
      </c>
      <c r="R164">
        <v>138.5</v>
      </c>
      <c r="S164">
        <v>147.4</v>
      </c>
      <c r="T164">
        <v>144.30000000000001</v>
      </c>
      <c r="U164">
        <v>138.1</v>
      </c>
      <c r="V164">
        <v>143.5</v>
      </c>
      <c r="W164" s="3">
        <v>141</v>
      </c>
      <c r="X164">
        <v>135.30000000000001</v>
      </c>
      <c r="Y164">
        <v>136.1</v>
      </c>
      <c r="Z164">
        <v>132.1</v>
      </c>
      <c r="AA164">
        <v>119.1</v>
      </c>
      <c r="AB164">
        <v>130.6</v>
      </c>
      <c r="AC164">
        <v>138.6</v>
      </c>
      <c r="AD164">
        <v>124.4</v>
      </c>
      <c r="AE164">
        <v>128.6</v>
      </c>
      <c r="AF164">
        <v>136.19999999999999</v>
      </c>
      <c r="AG16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65" spans="1:33" hidden="1" x14ac:dyDescent="0.3">
      <c r="A165" t="s">
        <v>32</v>
      </c>
      <c r="B165">
        <v>2017</v>
      </c>
      <c r="C165" t="s">
        <v>39</v>
      </c>
      <c r="D165" s="10">
        <f>DATE(All_India_Index_Upto_April23__13[[#This Row],[Year]],All_India_Index_Upto_April23__13[[#This Row],[Month Number]],1)</f>
        <v>42917</v>
      </c>
      <c r="E165" s="2" t="str">
        <f>IF(All_India_Index_Upto_April23__13[[#This Row],[Date]]&lt;DATE(2020, 3, 1),"Pre-COVID","Post-COVID")</f>
        <v>Pre-COVID</v>
      </c>
      <c r="F165">
        <v>132.80000000000001</v>
      </c>
      <c r="G165">
        <v>148.4</v>
      </c>
      <c r="H165">
        <v>129.4</v>
      </c>
      <c r="I165">
        <v>137.69999999999999</v>
      </c>
      <c r="J165">
        <v>113.4</v>
      </c>
      <c r="K165">
        <v>139.4</v>
      </c>
      <c r="L165">
        <v>175.1</v>
      </c>
      <c r="M165">
        <v>124.7</v>
      </c>
      <c r="N165">
        <v>121.5</v>
      </c>
      <c r="O165">
        <v>137.80000000000001</v>
      </c>
      <c r="P165">
        <v>124.4</v>
      </c>
      <c r="Q165">
        <v>143.69999999999999</v>
      </c>
      <c r="R165">
        <v>139.80000000000001</v>
      </c>
      <c r="S165">
        <v>150.5</v>
      </c>
      <c r="T165">
        <v>131.6</v>
      </c>
      <c r="U165">
        <v>123.7</v>
      </c>
      <c r="V165">
        <v>130.4</v>
      </c>
      <c r="W165" s="3">
        <v>132.6</v>
      </c>
      <c r="X165">
        <v>119.7</v>
      </c>
      <c r="Y165">
        <v>127.2</v>
      </c>
      <c r="Z165">
        <v>125</v>
      </c>
      <c r="AA165">
        <v>113.2</v>
      </c>
      <c r="AB165">
        <v>123.5</v>
      </c>
      <c r="AC165">
        <v>135.5</v>
      </c>
      <c r="AD165">
        <v>122.4</v>
      </c>
      <c r="AE165">
        <v>123</v>
      </c>
      <c r="AF165">
        <v>131.80000000000001</v>
      </c>
      <c r="AG16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66" spans="1:33" x14ac:dyDescent="0.3">
      <c r="A166" t="s">
        <v>33</v>
      </c>
      <c r="B166">
        <v>2018</v>
      </c>
      <c r="C166" t="s">
        <v>42</v>
      </c>
      <c r="D166" s="10">
        <f>DATE(All_India_Index_Upto_April23__13[[#This Row],[Year]],All_India_Index_Upto_April23__13[[#This Row],[Month Number]],1)</f>
        <v>43374</v>
      </c>
      <c r="E166" s="2" t="str">
        <f>IF(All_India_Index_Upto_April23__13[[#This Row],[Date]]&lt;DATE(2020, 3, 1),"Pre-COVID","Post-COVID")</f>
        <v>Pre-COVID</v>
      </c>
      <c r="F166">
        <v>137.4</v>
      </c>
      <c r="G166">
        <v>149.5</v>
      </c>
      <c r="H166">
        <v>137.30000000000001</v>
      </c>
      <c r="I166">
        <v>141.9</v>
      </c>
      <c r="J166">
        <v>121.1</v>
      </c>
      <c r="K166">
        <v>142.5</v>
      </c>
      <c r="L166">
        <v>146.69999999999999</v>
      </c>
      <c r="M166">
        <v>119.1</v>
      </c>
      <c r="N166">
        <v>111.9</v>
      </c>
      <c r="O166">
        <v>141</v>
      </c>
      <c r="P166">
        <v>133.6</v>
      </c>
      <c r="Q166">
        <v>154.5</v>
      </c>
      <c r="R166">
        <v>139.69999999999999</v>
      </c>
      <c r="S166">
        <v>162.6</v>
      </c>
      <c r="T166">
        <v>148</v>
      </c>
      <c r="U166">
        <v>139.19999999999999</v>
      </c>
      <c r="V166">
        <v>146.80000000000001</v>
      </c>
      <c r="W166" s="3">
        <v>146.9</v>
      </c>
      <c r="X166">
        <v>145.30000000000001</v>
      </c>
      <c r="Y166">
        <v>142.19999999999999</v>
      </c>
      <c r="Z166">
        <v>142.1</v>
      </c>
      <c r="AA166">
        <v>125.5</v>
      </c>
      <c r="AB166">
        <v>136.5</v>
      </c>
      <c r="AC166">
        <v>147.80000000000001</v>
      </c>
      <c r="AD166">
        <v>132</v>
      </c>
      <c r="AE166">
        <v>136.30000000000001</v>
      </c>
      <c r="AF166">
        <v>140.80000000000001</v>
      </c>
      <c r="AG16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67" spans="1:33" hidden="1" x14ac:dyDescent="0.3">
      <c r="A167" t="s">
        <v>30</v>
      </c>
      <c r="B167">
        <v>2017</v>
      </c>
      <c r="C167" t="s">
        <v>40</v>
      </c>
      <c r="D167" s="10">
        <f>DATE(All_India_Index_Upto_April23__13[[#This Row],[Year]],All_India_Index_Upto_April23__13[[#This Row],[Month Number]],1)</f>
        <v>42948</v>
      </c>
      <c r="E167" s="2" t="str">
        <f>IF(All_India_Index_Upto_April23__13[[#This Row],[Date]]&lt;DATE(2020, 3, 1),"Pre-COVID","Post-COVID")</f>
        <v>Pre-COVID</v>
      </c>
      <c r="F167">
        <v>134.80000000000001</v>
      </c>
      <c r="G167">
        <v>143.1</v>
      </c>
      <c r="H167">
        <v>130</v>
      </c>
      <c r="I167">
        <v>139.4</v>
      </c>
      <c r="J167">
        <v>120.5</v>
      </c>
      <c r="K167">
        <v>148</v>
      </c>
      <c r="L167">
        <v>162.9</v>
      </c>
      <c r="M167">
        <v>137.4</v>
      </c>
      <c r="N167">
        <v>120.8</v>
      </c>
      <c r="O167">
        <v>134.69999999999999</v>
      </c>
      <c r="P167">
        <v>131.6</v>
      </c>
      <c r="Q167">
        <v>148.69999999999999</v>
      </c>
      <c r="R167">
        <v>140.6</v>
      </c>
      <c r="S167">
        <v>149</v>
      </c>
      <c r="T167">
        <v>145.30000000000001</v>
      </c>
      <c r="U167">
        <v>139.19999999999999</v>
      </c>
      <c r="V167">
        <v>144.5</v>
      </c>
      <c r="W167" s="3">
        <v>141</v>
      </c>
      <c r="X167">
        <v>136.4</v>
      </c>
      <c r="Y167">
        <v>137.30000000000001</v>
      </c>
      <c r="Z167">
        <v>133</v>
      </c>
      <c r="AA167">
        <v>120.3</v>
      </c>
      <c r="AB167">
        <v>131.5</v>
      </c>
      <c r="AC167">
        <v>140.19999999999999</v>
      </c>
      <c r="AD167">
        <v>125.4</v>
      </c>
      <c r="AE167">
        <v>129.69999999999999</v>
      </c>
      <c r="AF167">
        <v>137.80000000000001</v>
      </c>
      <c r="AG16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68" spans="1:33" hidden="1" x14ac:dyDescent="0.3">
      <c r="A168" t="s">
        <v>32</v>
      </c>
      <c r="B168">
        <v>2017</v>
      </c>
      <c r="C168" t="s">
        <v>40</v>
      </c>
      <c r="D168" s="10">
        <f>DATE(All_India_Index_Upto_April23__13[[#This Row],[Year]],All_India_Index_Upto_April23__13[[#This Row],[Month Number]],1)</f>
        <v>42948</v>
      </c>
      <c r="E168" s="2" t="str">
        <f>IF(All_India_Index_Upto_April23__13[[#This Row],[Date]]&lt;DATE(2020, 3, 1),"Pre-COVID","Post-COVID")</f>
        <v>Pre-COVID</v>
      </c>
      <c r="F168">
        <v>133.19999999999999</v>
      </c>
      <c r="G168">
        <v>143.9</v>
      </c>
      <c r="H168">
        <v>128.30000000000001</v>
      </c>
      <c r="I168">
        <v>138.30000000000001</v>
      </c>
      <c r="J168">
        <v>114.1</v>
      </c>
      <c r="K168">
        <v>142.69999999999999</v>
      </c>
      <c r="L168">
        <v>179.8</v>
      </c>
      <c r="M168">
        <v>123.5</v>
      </c>
      <c r="N168">
        <v>122.1</v>
      </c>
      <c r="O168">
        <v>137.5</v>
      </c>
      <c r="P168">
        <v>124.6</v>
      </c>
      <c r="Q168">
        <v>144.5</v>
      </c>
      <c r="R168">
        <v>140.5</v>
      </c>
      <c r="S168">
        <v>152.1</v>
      </c>
      <c r="T168">
        <v>132.69999999999999</v>
      </c>
      <c r="U168">
        <v>124.3</v>
      </c>
      <c r="V168">
        <v>131.4</v>
      </c>
      <c r="W168" s="3">
        <v>134.4</v>
      </c>
      <c r="X168">
        <v>118.9</v>
      </c>
      <c r="Y168">
        <v>127.7</v>
      </c>
      <c r="Z168">
        <v>125.7</v>
      </c>
      <c r="AA168">
        <v>114.6</v>
      </c>
      <c r="AB168">
        <v>124.1</v>
      </c>
      <c r="AC168">
        <v>135.69999999999999</v>
      </c>
      <c r="AD168">
        <v>123.3</v>
      </c>
      <c r="AE168">
        <v>123.8</v>
      </c>
      <c r="AF168">
        <v>132.69999999999999</v>
      </c>
      <c r="AG16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69" spans="1:33" x14ac:dyDescent="0.3">
      <c r="A169" t="s">
        <v>33</v>
      </c>
      <c r="B169">
        <v>2018</v>
      </c>
      <c r="C169" t="s">
        <v>41</v>
      </c>
      <c r="D169" s="10">
        <f>DATE(All_India_Index_Upto_April23__13[[#This Row],[Year]],All_India_Index_Upto_April23__13[[#This Row],[Month Number]],1)</f>
        <v>43344</v>
      </c>
      <c r="E169" s="2" t="str">
        <f>IF(All_India_Index_Upto_April23__13[[#This Row],[Date]]&lt;DATE(2020, 3, 1),"Pre-COVID","Post-COVID")</f>
        <v>Pre-COVID</v>
      </c>
      <c r="F169">
        <v>138.6</v>
      </c>
      <c r="G169">
        <v>145.80000000000001</v>
      </c>
      <c r="H169">
        <v>135.1</v>
      </c>
      <c r="I169">
        <v>142.9</v>
      </c>
      <c r="J169">
        <v>122.1</v>
      </c>
      <c r="K169">
        <v>145.4</v>
      </c>
      <c r="L169">
        <v>150</v>
      </c>
      <c r="M169">
        <v>121.4</v>
      </c>
      <c r="N169">
        <v>113.7</v>
      </c>
      <c r="O169">
        <v>139.5</v>
      </c>
      <c r="P169">
        <v>130.80000000000001</v>
      </c>
      <c r="Q169">
        <v>153.80000000000001</v>
      </c>
      <c r="R169">
        <v>140.4</v>
      </c>
      <c r="S169">
        <v>159.19999999999999</v>
      </c>
      <c r="T169">
        <v>147.69999999999999</v>
      </c>
      <c r="U169">
        <v>139.1</v>
      </c>
      <c r="V169">
        <v>146.5</v>
      </c>
      <c r="W169" s="3">
        <v>145.30000000000001</v>
      </c>
      <c r="X169">
        <v>142.30000000000001</v>
      </c>
      <c r="Y169">
        <v>139.69999999999999</v>
      </c>
      <c r="Z169">
        <v>138.4</v>
      </c>
      <c r="AA169">
        <v>126</v>
      </c>
      <c r="AB169">
        <v>134.5</v>
      </c>
      <c r="AC169">
        <v>146.19999999999999</v>
      </c>
      <c r="AD169">
        <v>130.9</v>
      </c>
      <c r="AE169">
        <v>134.69999999999999</v>
      </c>
      <c r="AF169">
        <v>140.19999999999999</v>
      </c>
      <c r="AG16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70" spans="1:33" hidden="1" x14ac:dyDescent="0.3">
      <c r="A170" t="s">
        <v>30</v>
      </c>
      <c r="B170">
        <v>2017</v>
      </c>
      <c r="C170" t="s">
        <v>41</v>
      </c>
      <c r="D170" s="10">
        <f>DATE(All_India_Index_Upto_April23__13[[#This Row],[Year]],All_India_Index_Upto_April23__13[[#This Row],[Month Number]],1)</f>
        <v>42979</v>
      </c>
      <c r="E170" s="2" t="str">
        <f>IF(All_India_Index_Upto_April23__13[[#This Row],[Date]]&lt;DATE(2020, 3, 1),"Pre-COVID","Post-COVID")</f>
        <v>Pre-COVID</v>
      </c>
      <c r="F170">
        <v>135.19999999999999</v>
      </c>
      <c r="G170">
        <v>142</v>
      </c>
      <c r="H170">
        <v>130.5</v>
      </c>
      <c r="I170">
        <v>140.19999999999999</v>
      </c>
      <c r="J170">
        <v>120.7</v>
      </c>
      <c r="K170">
        <v>147.80000000000001</v>
      </c>
      <c r="L170">
        <v>154.5</v>
      </c>
      <c r="M170">
        <v>137.1</v>
      </c>
      <c r="N170">
        <v>121</v>
      </c>
      <c r="O170">
        <v>134.69999999999999</v>
      </c>
      <c r="P170">
        <v>131.69999999999999</v>
      </c>
      <c r="Q170">
        <v>149.30000000000001</v>
      </c>
      <c r="R170">
        <v>139.6</v>
      </c>
      <c r="S170">
        <v>149.80000000000001</v>
      </c>
      <c r="T170">
        <v>146.1</v>
      </c>
      <c r="U170">
        <v>139.69999999999999</v>
      </c>
      <c r="V170">
        <v>145.19999999999999</v>
      </c>
      <c r="W170" s="3">
        <v>141</v>
      </c>
      <c r="X170">
        <v>137.4</v>
      </c>
      <c r="Y170">
        <v>137.9</v>
      </c>
      <c r="Z170">
        <v>133.4</v>
      </c>
      <c r="AA170">
        <v>121.2</v>
      </c>
      <c r="AB170">
        <v>132.30000000000001</v>
      </c>
      <c r="AC170">
        <v>139.6</v>
      </c>
      <c r="AD170">
        <v>126.7</v>
      </c>
      <c r="AE170">
        <v>130.30000000000001</v>
      </c>
      <c r="AF170">
        <v>137.6</v>
      </c>
      <c r="AG17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71" spans="1:33" hidden="1" x14ac:dyDescent="0.3">
      <c r="A171" t="s">
        <v>32</v>
      </c>
      <c r="B171">
        <v>2017</v>
      </c>
      <c r="C171" t="s">
        <v>41</v>
      </c>
      <c r="D171" s="10">
        <f>DATE(All_India_Index_Upto_April23__13[[#This Row],[Year]],All_India_Index_Upto_April23__13[[#This Row],[Month Number]],1)</f>
        <v>42979</v>
      </c>
      <c r="E171" s="2" t="str">
        <f>IF(All_India_Index_Upto_April23__13[[#This Row],[Date]]&lt;DATE(2020, 3, 1),"Pre-COVID","Post-COVID")</f>
        <v>Pre-COVID</v>
      </c>
      <c r="F171">
        <v>133.6</v>
      </c>
      <c r="G171">
        <v>143</v>
      </c>
      <c r="H171">
        <v>129.69999999999999</v>
      </c>
      <c r="I171">
        <v>138.69999999999999</v>
      </c>
      <c r="J171">
        <v>114.5</v>
      </c>
      <c r="K171">
        <v>137.5</v>
      </c>
      <c r="L171">
        <v>160.69999999999999</v>
      </c>
      <c r="M171">
        <v>124.5</v>
      </c>
      <c r="N171">
        <v>122.4</v>
      </c>
      <c r="O171">
        <v>137.30000000000001</v>
      </c>
      <c r="P171">
        <v>124.8</v>
      </c>
      <c r="Q171">
        <v>145</v>
      </c>
      <c r="R171">
        <v>138</v>
      </c>
      <c r="S171">
        <v>153.6</v>
      </c>
      <c r="T171">
        <v>133.30000000000001</v>
      </c>
      <c r="U171">
        <v>124.6</v>
      </c>
      <c r="V171">
        <v>132</v>
      </c>
      <c r="W171" s="3">
        <v>135.69999999999999</v>
      </c>
      <c r="X171">
        <v>120.6</v>
      </c>
      <c r="Y171">
        <v>128.1</v>
      </c>
      <c r="Z171">
        <v>126.1</v>
      </c>
      <c r="AA171">
        <v>115.7</v>
      </c>
      <c r="AB171">
        <v>124.5</v>
      </c>
      <c r="AC171">
        <v>135.9</v>
      </c>
      <c r="AD171">
        <v>124.4</v>
      </c>
      <c r="AE171">
        <v>124.5</v>
      </c>
      <c r="AF171">
        <v>132.4</v>
      </c>
      <c r="AG17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172" spans="1:33" x14ac:dyDescent="0.3">
      <c r="A172" t="s">
        <v>33</v>
      </c>
      <c r="B172">
        <v>2018</v>
      </c>
      <c r="C172" t="s">
        <v>40</v>
      </c>
      <c r="D172" s="10">
        <f>DATE(All_India_Index_Upto_April23__13[[#This Row],[Year]],All_India_Index_Upto_April23__13[[#This Row],[Month Number]],1)</f>
        <v>43313</v>
      </c>
      <c r="E172" s="2" t="str">
        <f>IF(All_India_Index_Upto_April23__13[[#This Row],[Date]]&lt;DATE(2020, 3, 1),"Pre-COVID","Post-COVID")</f>
        <v>Pre-COVID</v>
      </c>
      <c r="F172">
        <v>138.30000000000001</v>
      </c>
      <c r="G172">
        <v>148</v>
      </c>
      <c r="H172">
        <v>138.1</v>
      </c>
      <c r="I172">
        <v>142.6</v>
      </c>
      <c r="J172">
        <v>122.2</v>
      </c>
      <c r="K172">
        <v>150.6</v>
      </c>
      <c r="L172">
        <v>156.6</v>
      </c>
      <c r="M172">
        <v>122.4</v>
      </c>
      <c r="N172">
        <v>114.7</v>
      </c>
      <c r="O172">
        <v>139.4</v>
      </c>
      <c r="P172">
        <v>131.1</v>
      </c>
      <c r="Q172">
        <v>153</v>
      </c>
      <c r="R172">
        <v>141.69999999999999</v>
      </c>
      <c r="S172">
        <v>157.9</v>
      </c>
      <c r="T172">
        <v>147.30000000000001</v>
      </c>
      <c r="U172">
        <v>138.80000000000001</v>
      </c>
      <c r="V172">
        <v>146.1</v>
      </c>
      <c r="W172" s="3">
        <v>144.6</v>
      </c>
      <c r="X172">
        <v>140.9</v>
      </c>
      <c r="Y172">
        <v>139.4</v>
      </c>
      <c r="Z172">
        <v>137.69999999999999</v>
      </c>
      <c r="AA172">
        <v>124.3</v>
      </c>
      <c r="AB172">
        <v>133.6</v>
      </c>
      <c r="AC172">
        <v>146</v>
      </c>
      <c r="AD172">
        <v>130.1</v>
      </c>
      <c r="AE172">
        <v>133.9</v>
      </c>
      <c r="AF172">
        <v>140.4</v>
      </c>
      <c r="AG17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173" spans="1:33" hidden="1" x14ac:dyDescent="0.3">
      <c r="A173" t="s">
        <v>30</v>
      </c>
      <c r="B173">
        <v>2017</v>
      </c>
      <c r="C173" t="s">
        <v>42</v>
      </c>
      <c r="D173" s="10">
        <f>DATE(All_India_Index_Upto_April23__13[[#This Row],[Year]],All_India_Index_Upto_April23__13[[#This Row],[Month Number]],1)</f>
        <v>43009</v>
      </c>
      <c r="E173" s="2" t="str">
        <f>IF(All_India_Index_Upto_April23__13[[#This Row],[Date]]&lt;DATE(2020, 3, 1),"Pre-COVID","Post-COVID")</f>
        <v>Pre-COVID</v>
      </c>
      <c r="F173">
        <v>135.9</v>
      </c>
      <c r="G173">
        <v>141.9</v>
      </c>
      <c r="H173">
        <v>131</v>
      </c>
      <c r="I173">
        <v>141.5</v>
      </c>
      <c r="J173">
        <v>121.4</v>
      </c>
      <c r="K173">
        <v>146.69999999999999</v>
      </c>
      <c r="L173">
        <v>157.1</v>
      </c>
      <c r="M173">
        <v>136.4</v>
      </c>
      <c r="N173">
        <v>121.4</v>
      </c>
      <c r="O173">
        <v>135.6</v>
      </c>
      <c r="P173">
        <v>131.30000000000001</v>
      </c>
      <c r="Q173">
        <v>150.30000000000001</v>
      </c>
      <c r="R173">
        <v>140.4</v>
      </c>
      <c r="S173">
        <v>150.5</v>
      </c>
      <c r="T173">
        <v>147.19999999999999</v>
      </c>
      <c r="U173">
        <v>140.6</v>
      </c>
      <c r="V173">
        <v>146.19999999999999</v>
      </c>
      <c r="W173" s="3">
        <v>141</v>
      </c>
      <c r="X173">
        <v>138.1</v>
      </c>
      <c r="Y173">
        <v>138.4</v>
      </c>
      <c r="Z173">
        <v>134.19999999999999</v>
      </c>
      <c r="AA173">
        <v>121</v>
      </c>
      <c r="AB173">
        <v>133</v>
      </c>
      <c r="AC173">
        <v>140.1</v>
      </c>
      <c r="AD173">
        <v>127.4</v>
      </c>
      <c r="AE173">
        <v>130.69999999999999</v>
      </c>
      <c r="AF173">
        <v>138.30000000000001</v>
      </c>
      <c r="AG17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74" spans="1:33" hidden="1" x14ac:dyDescent="0.3">
      <c r="A174" t="s">
        <v>32</v>
      </c>
      <c r="B174">
        <v>2017</v>
      </c>
      <c r="C174" t="s">
        <v>42</v>
      </c>
      <c r="D174" s="10">
        <f>DATE(All_India_Index_Upto_April23__13[[#This Row],[Year]],All_India_Index_Upto_April23__13[[#This Row],[Month Number]],1)</f>
        <v>43009</v>
      </c>
      <c r="E174" s="2" t="str">
        <f>IF(All_India_Index_Upto_April23__13[[#This Row],[Date]]&lt;DATE(2020, 3, 1),"Pre-COVID","Post-COVID")</f>
        <v>Pre-COVID</v>
      </c>
      <c r="F174">
        <v>133.9</v>
      </c>
      <c r="G174">
        <v>142.80000000000001</v>
      </c>
      <c r="H174">
        <v>131.4</v>
      </c>
      <c r="I174">
        <v>139.1</v>
      </c>
      <c r="J174">
        <v>114.9</v>
      </c>
      <c r="K174">
        <v>135.6</v>
      </c>
      <c r="L174">
        <v>173.2</v>
      </c>
      <c r="M174">
        <v>124.1</v>
      </c>
      <c r="N174">
        <v>122.6</v>
      </c>
      <c r="O174">
        <v>137.80000000000001</v>
      </c>
      <c r="P174">
        <v>125.1</v>
      </c>
      <c r="Q174">
        <v>145.5</v>
      </c>
      <c r="R174">
        <v>139.69999999999999</v>
      </c>
      <c r="S174">
        <v>154.6</v>
      </c>
      <c r="T174">
        <v>134</v>
      </c>
      <c r="U174">
        <v>124.9</v>
      </c>
      <c r="V174">
        <v>132.6</v>
      </c>
      <c r="W174" s="3">
        <v>137.30000000000001</v>
      </c>
      <c r="X174">
        <v>122.6</v>
      </c>
      <c r="Y174">
        <v>128.30000000000001</v>
      </c>
      <c r="Z174">
        <v>126.6</v>
      </c>
      <c r="AA174">
        <v>115</v>
      </c>
      <c r="AB174">
        <v>124.8</v>
      </c>
      <c r="AC174">
        <v>136.30000000000001</v>
      </c>
      <c r="AD174">
        <v>124.6</v>
      </c>
      <c r="AE174">
        <v>124.5</v>
      </c>
      <c r="AF174">
        <v>133.5</v>
      </c>
      <c r="AG17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175" spans="1:33" x14ac:dyDescent="0.3">
      <c r="A175" t="s">
        <v>33</v>
      </c>
      <c r="B175">
        <v>2018</v>
      </c>
      <c r="C175" t="s">
        <v>39</v>
      </c>
      <c r="D175" s="10">
        <f>DATE(All_India_Index_Upto_April23__13[[#This Row],[Year]],All_India_Index_Upto_April23__13[[#This Row],[Month Number]],1)</f>
        <v>43282</v>
      </c>
      <c r="E175" s="2" t="str">
        <f>IF(All_India_Index_Upto_April23__13[[#This Row],[Date]]&lt;DATE(2020, 3, 1),"Pre-COVID","Post-COVID")</f>
        <v>Pre-COVID</v>
      </c>
      <c r="F175">
        <v>137.5</v>
      </c>
      <c r="G175">
        <v>149.1</v>
      </c>
      <c r="H175">
        <v>139.19999999999999</v>
      </c>
      <c r="I175">
        <v>142.5</v>
      </c>
      <c r="J175">
        <v>121.4</v>
      </c>
      <c r="K175">
        <v>151.6</v>
      </c>
      <c r="L175">
        <v>155.9</v>
      </c>
      <c r="M175">
        <v>121.7</v>
      </c>
      <c r="N175">
        <v>113.5</v>
      </c>
      <c r="O175">
        <v>138.9</v>
      </c>
      <c r="P175">
        <v>130.30000000000001</v>
      </c>
      <c r="Q175">
        <v>152.30000000000001</v>
      </c>
      <c r="R175">
        <v>141.4</v>
      </c>
      <c r="S175">
        <v>157.5</v>
      </c>
      <c r="T175">
        <v>146.80000000000001</v>
      </c>
      <c r="U175">
        <v>138.4</v>
      </c>
      <c r="V175">
        <v>145.6</v>
      </c>
      <c r="W175" s="3">
        <v>143.6</v>
      </c>
      <c r="X175">
        <v>139.69999999999999</v>
      </c>
      <c r="Y175">
        <v>138.6</v>
      </c>
      <c r="Z175">
        <v>137</v>
      </c>
      <c r="AA175">
        <v>123.6</v>
      </c>
      <c r="AB175">
        <v>133.1</v>
      </c>
      <c r="AC175">
        <v>144.69999999999999</v>
      </c>
      <c r="AD175">
        <v>130.1</v>
      </c>
      <c r="AE175">
        <v>133.19999999999999</v>
      </c>
      <c r="AF175">
        <v>139.80000000000001</v>
      </c>
      <c r="AG17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176" spans="1:33" hidden="1" x14ac:dyDescent="0.3">
      <c r="A176" t="s">
        <v>30</v>
      </c>
      <c r="B176">
        <v>2017</v>
      </c>
      <c r="C176" t="s">
        <v>43</v>
      </c>
      <c r="D176" s="10">
        <f>DATE(All_India_Index_Upto_April23__13[[#This Row],[Year]],All_India_Index_Upto_April23__13[[#This Row],[Month Number]],1)</f>
        <v>43040</v>
      </c>
      <c r="E176" s="2" t="str">
        <f>IF(All_India_Index_Upto_April23__13[[#This Row],[Date]]&lt;DATE(2020, 3, 1),"Pre-COVID","Post-COVID")</f>
        <v>Pre-COVID</v>
      </c>
      <c r="F176">
        <v>136.30000000000001</v>
      </c>
      <c r="G176">
        <v>142.5</v>
      </c>
      <c r="H176">
        <v>140.5</v>
      </c>
      <c r="I176">
        <v>141.5</v>
      </c>
      <c r="J176">
        <v>121.6</v>
      </c>
      <c r="K176">
        <v>147.30000000000001</v>
      </c>
      <c r="L176">
        <v>168</v>
      </c>
      <c r="M176">
        <v>135.80000000000001</v>
      </c>
      <c r="N176">
        <v>122.5</v>
      </c>
      <c r="O176">
        <v>136</v>
      </c>
      <c r="P176">
        <v>131.9</v>
      </c>
      <c r="Q176">
        <v>151.4</v>
      </c>
      <c r="R176">
        <v>142.4</v>
      </c>
      <c r="S176">
        <v>152.1</v>
      </c>
      <c r="T176">
        <v>148.19999999999999</v>
      </c>
      <c r="U176">
        <v>141.5</v>
      </c>
      <c r="V176">
        <v>147.30000000000001</v>
      </c>
      <c r="W176" s="3">
        <v>141</v>
      </c>
      <c r="X176">
        <v>141.1</v>
      </c>
      <c r="Y176">
        <v>139.4</v>
      </c>
      <c r="Z176">
        <v>135.80000000000001</v>
      </c>
      <c r="AA176">
        <v>121.6</v>
      </c>
      <c r="AB176">
        <v>133.69999999999999</v>
      </c>
      <c r="AC176">
        <v>141.5</v>
      </c>
      <c r="AD176">
        <v>128.1</v>
      </c>
      <c r="AE176">
        <v>131.69999999999999</v>
      </c>
      <c r="AF176">
        <v>140</v>
      </c>
      <c r="AG17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77" spans="1:33" hidden="1" x14ac:dyDescent="0.3">
      <c r="A177" t="s">
        <v>32</v>
      </c>
      <c r="B177">
        <v>2017</v>
      </c>
      <c r="C177" t="s">
        <v>43</v>
      </c>
      <c r="D177" s="10">
        <f>DATE(All_India_Index_Upto_April23__13[[#This Row],[Year]],All_India_Index_Upto_April23__13[[#This Row],[Month Number]],1)</f>
        <v>43040</v>
      </c>
      <c r="E177" s="2" t="str">
        <f>IF(All_India_Index_Upto_April23__13[[#This Row],[Date]]&lt;DATE(2020, 3, 1),"Pre-COVID","Post-COVID")</f>
        <v>Pre-COVID</v>
      </c>
      <c r="F177">
        <v>134.30000000000001</v>
      </c>
      <c r="G177">
        <v>142.1</v>
      </c>
      <c r="H177">
        <v>146.69999999999999</v>
      </c>
      <c r="I177">
        <v>139.5</v>
      </c>
      <c r="J177">
        <v>115.2</v>
      </c>
      <c r="K177">
        <v>136.4</v>
      </c>
      <c r="L177">
        <v>185.2</v>
      </c>
      <c r="M177">
        <v>122.2</v>
      </c>
      <c r="N177">
        <v>123.9</v>
      </c>
      <c r="O177">
        <v>138.30000000000001</v>
      </c>
      <c r="P177">
        <v>125.4</v>
      </c>
      <c r="Q177">
        <v>146</v>
      </c>
      <c r="R177">
        <v>141.5</v>
      </c>
      <c r="S177">
        <v>156.19999999999999</v>
      </c>
      <c r="T177">
        <v>135</v>
      </c>
      <c r="U177">
        <v>125.4</v>
      </c>
      <c r="V177">
        <v>133.5</v>
      </c>
      <c r="W177" s="3">
        <v>138.6</v>
      </c>
      <c r="X177">
        <v>125.7</v>
      </c>
      <c r="Y177">
        <v>128.80000000000001</v>
      </c>
      <c r="Z177">
        <v>127.4</v>
      </c>
      <c r="AA177">
        <v>115.3</v>
      </c>
      <c r="AB177">
        <v>125.1</v>
      </c>
      <c r="AC177">
        <v>136.6</v>
      </c>
      <c r="AD177">
        <v>124.9</v>
      </c>
      <c r="AE177">
        <v>124.9</v>
      </c>
      <c r="AF177">
        <v>134.80000000000001</v>
      </c>
      <c r="AG17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178" spans="1:33" x14ac:dyDescent="0.3">
      <c r="A178" t="s">
        <v>33</v>
      </c>
      <c r="B178">
        <v>2018</v>
      </c>
      <c r="C178" t="s">
        <v>38</v>
      </c>
      <c r="D178" s="10">
        <f>DATE(All_India_Index_Upto_April23__13[[#This Row],[Year]],All_India_Index_Upto_April23__13[[#This Row],[Month Number]],1)</f>
        <v>43252</v>
      </c>
      <c r="E178" s="2" t="str">
        <f>IF(All_India_Index_Upto_April23__13[[#This Row],[Date]]&lt;DATE(2020, 3, 1),"Pre-COVID","Post-COVID")</f>
        <v>Pre-COVID</v>
      </c>
      <c r="F178">
        <v>136.9</v>
      </c>
      <c r="G178">
        <v>148.69999999999999</v>
      </c>
      <c r="H178">
        <v>135.6</v>
      </c>
      <c r="I178">
        <v>142.30000000000001</v>
      </c>
      <c r="J178">
        <v>121.3</v>
      </c>
      <c r="K178">
        <v>153.19999999999999</v>
      </c>
      <c r="L178">
        <v>143.69999999999999</v>
      </c>
      <c r="M178">
        <v>121.4</v>
      </c>
      <c r="N178">
        <v>111.1</v>
      </c>
      <c r="O178">
        <v>138.4</v>
      </c>
      <c r="P178">
        <v>130.30000000000001</v>
      </c>
      <c r="Q178">
        <v>151.80000000000001</v>
      </c>
      <c r="R178">
        <v>139.4</v>
      </c>
      <c r="S178">
        <v>158.30000000000001</v>
      </c>
      <c r="T178">
        <v>146.4</v>
      </c>
      <c r="U178">
        <v>138.1</v>
      </c>
      <c r="V178">
        <v>145.19999999999999</v>
      </c>
      <c r="W178" s="3">
        <v>142.5</v>
      </c>
      <c r="X178">
        <v>138.1</v>
      </c>
      <c r="Y178">
        <v>137.9</v>
      </c>
      <c r="Z178">
        <v>136.19999999999999</v>
      </c>
      <c r="AA178">
        <v>123.7</v>
      </c>
      <c r="AB178">
        <v>132.6</v>
      </c>
      <c r="AC178">
        <v>142.80000000000001</v>
      </c>
      <c r="AD178">
        <v>130.1</v>
      </c>
      <c r="AE178">
        <v>132.6</v>
      </c>
      <c r="AF178">
        <v>138.5</v>
      </c>
      <c r="AG17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79" spans="1:33" hidden="1" x14ac:dyDescent="0.3">
      <c r="A179" t="s">
        <v>30</v>
      </c>
      <c r="B179">
        <v>2017</v>
      </c>
      <c r="C179" t="s">
        <v>44</v>
      </c>
      <c r="D179" s="10">
        <f>DATE(All_India_Index_Upto_April23__13[[#This Row],[Year]],All_India_Index_Upto_April23__13[[#This Row],[Month Number]],1)</f>
        <v>43070</v>
      </c>
      <c r="E179" s="2" t="str">
        <f>IF(All_India_Index_Upto_April23__13[[#This Row],[Date]]&lt;DATE(2020, 3, 1),"Pre-COVID","Post-COVID")</f>
        <v>Pre-COVID</v>
      </c>
      <c r="F179">
        <v>136.4</v>
      </c>
      <c r="G179">
        <v>143.69999999999999</v>
      </c>
      <c r="H179">
        <v>144.80000000000001</v>
      </c>
      <c r="I179">
        <v>141.9</v>
      </c>
      <c r="J179">
        <v>123.1</v>
      </c>
      <c r="K179">
        <v>147.19999999999999</v>
      </c>
      <c r="L179">
        <v>161</v>
      </c>
      <c r="M179">
        <v>133.80000000000001</v>
      </c>
      <c r="N179">
        <v>121.9</v>
      </c>
      <c r="O179">
        <v>135.80000000000001</v>
      </c>
      <c r="P179">
        <v>131.1</v>
      </c>
      <c r="Q179">
        <v>151.4</v>
      </c>
      <c r="R179">
        <v>141.5</v>
      </c>
      <c r="S179">
        <v>153.19999999999999</v>
      </c>
      <c r="T179">
        <v>148</v>
      </c>
      <c r="U179">
        <v>141.9</v>
      </c>
      <c r="V179">
        <v>147.19999999999999</v>
      </c>
      <c r="W179" s="3">
        <v>141</v>
      </c>
      <c r="X179">
        <v>142.6</v>
      </c>
      <c r="Y179">
        <v>139.5</v>
      </c>
      <c r="Z179">
        <v>136.1</v>
      </c>
      <c r="AA179">
        <v>122</v>
      </c>
      <c r="AB179">
        <v>133.4</v>
      </c>
      <c r="AC179">
        <v>141.1</v>
      </c>
      <c r="AD179">
        <v>127.8</v>
      </c>
      <c r="AE179">
        <v>131.9</v>
      </c>
      <c r="AF179">
        <v>139.80000000000001</v>
      </c>
      <c r="AG17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80" spans="1:33" hidden="1" x14ac:dyDescent="0.3">
      <c r="A180" t="s">
        <v>32</v>
      </c>
      <c r="B180">
        <v>2017</v>
      </c>
      <c r="C180" t="s">
        <v>44</v>
      </c>
      <c r="D180" s="10">
        <f>DATE(All_India_Index_Upto_April23__13[[#This Row],[Year]],All_India_Index_Upto_April23__13[[#This Row],[Month Number]],1)</f>
        <v>43070</v>
      </c>
      <c r="E180" s="2" t="str">
        <f>IF(All_India_Index_Upto_April23__13[[#This Row],[Date]]&lt;DATE(2020, 3, 1),"Pre-COVID","Post-COVID")</f>
        <v>Pre-COVID</v>
      </c>
      <c r="F180">
        <v>134.4</v>
      </c>
      <c r="G180">
        <v>142.6</v>
      </c>
      <c r="H180">
        <v>145.9</v>
      </c>
      <c r="I180">
        <v>139.5</v>
      </c>
      <c r="J180">
        <v>115.9</v>
      </c>
      <c r="K180">
        <v>135</v>
      </c>
      <c r="L180">
        <v>163.19999999999999</v>
      </c>
      <c r="M180">
        <v>119.8</v>
      </c>
      <c r="N180">
        <v>120.7</v>
      </c>
      <c r="O180">
        <v>139.69999999999999</v>
      </c>
      <c r="P180">
        <v>125.7</v>
      </c>
      <c r="Q180">
        <v>146.30000000000001</v>
      </c>
      <c r="R180">
        <v>138.80000000000001</v>
      </c>
      <c r="S180">
        <v>157</v>
      </c>
      <c r="T180">
        <v>135.6</v>
      </c>
      <c r="U180">
        <v>125.6</v>
      </c>
      <c r="V180">
        <v>134</v>
      </c>
      <c r="W180" s="3">
        <v>139.1</v>
      </c>
      <c r="X180">
        <v>126.8</v>
      </c>
      <c r="Y180">
        <v>129.30000000000001</v>
      </c>
      <c r="Z180">
        <v>128.19999999999999</v>
      </c>
      <c r="AA180">
        <v>115.3</v>
      </c>
      <c r="AB180">
        <v>125.6</v>
      </c>
      <c r="AC180">
        <v>136.69999999999999</v>
      </c>
      <c r="AD180">
        <v>124.6</v>
      </c>
      <c r="AE180">
        <v>125.1</v>
      </c>
      <c r="AF180">
        <v>134.1</v>
      </c>
      <c r="AG18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81" spans="1:33" x14ac:dyDescent="0.3">
      <c r="A181" t="s">
        <v>33</v>
      </c>
      <c r="B181">
        <v>2018</v>
      </c>
      <c r="C181" t="s">
        <v>37</v>
      </c>
      <c r="D181" s="10">
        <f>DATE(All_India_Index_Upto_April23__13[[#This Row],[Year]],All_India_Index_Upto_April23__13[[#This Row],[Month Number]],1)</f>
        <v>43221</v>
      </c>
      <c r="E181" s="2" t="str">
        <f>IF(All_India_Index_Upto_April23__13[[#This Row],[Date]]&lt;DATE(2020, 3, 1),"Pre-COVID","Post-COVID")</f>
        <v>Pre-COVID</v>
      </c>
      <c r="F181">
        <v>136.6</v>
      </c>
      <c r="G181">
        <v>146.6</v>
      </c>
      <c r="H181">
        <v>133.6</v>
      </c>
      <c r="I181">
        <v>142.1</v>
      </c>
      <c r="J181">
        <v>121</v>
      </c>
      <c r="K181">
        <v>154.6</v>
      </c>
      <c r="L181">
        <v>135.6</v>
      </c>
      <c r="M181">
        <v>122.3</v>
      </c>
      <c r="N181">
        <v>109.6</v>
      </c>
      <c r="O181">
        <v>138.1</v>
      </c>
      <c r="P181">
        <v>129.9</v>
      </c>
      <c r="Q181">
        <v>151.69999999999999</v>
      </c>
      <c r="R181">
        <v>138.1</v>
      </c>
      <c r="S181">
        <v>157.9</v>
      </c>
      <c r="T181">
        <v>146</v>
      </c>
      <c r="U181">
        <v>137.4</v>
      </c>
      <c r="V181">
        <v>144.69999999999999</v>
      </c>
      <c r="W181" s="3">
        <v>143.19999999999999</v>
      </c>
      <c r="X181">
        <v>136.9</v>
      </c>
      <c r="Y181">
        <v>137.4</v>
      </c>
      <c r="Z181">
        <v>136</v>
      </c>
      <c r="AA181">
        <v>122.9</v>
      </c>
      <c r="AB181">
        <v>131.80000000000001</v>
      </c>
      <c r="AC181">
        <v>142.1</v>
      </c>
      <c r="AD181">
        <v>129.9</v>
      </c>
      <c r="AE181">
        <v>132.1</v>
      </c>
      <c r="AF181">
        <v>137.80000000000001</v>
      </c>
      <c r="AG18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82" spans="1:33" hidden="1" x14ac:dyDescent="0.3">
      <c r="A182" t="s">
        <v>30</v>
      </c>
      <c r="B182">
        <v>2018</v>
      </c>
      <c r="C182" t="s">
        <v>31</v>
      </c>
      <c r="D182" s="10">
        <f>DATE(All_India_Index_Upto_April23__13[[#This Row],[Year]],All_India_Index_Upto_April23__13[[#This Row],[Month Number]],1)</f>
        <v>43101</v>
      </c>
      <c r="E182" s="2" t="str">
        <f>IF(All_India_Index_Upto_April23__13[[#This Row],[Date]]&lt;DATE(2020, 3, 1),"Pre-COVID","Post-COVID")</f>
        <v>Pre-COVID</v>
      </c>
      <c r="F182">
        <v>136.6</v>
      </c>
      <c r="G182">
        <v>144.4</v>
      </c>
      <c r="H182">
        <v>143.80000000000001</v>
      </c>
      <c r="I182">
        <v>142</v>
      </c>
      <c r="J182">
        <v>123.2</v>
      </c>
      <c r="K182">
        <v>147.9</v>
      </c>
      <c r="L182">
        <v>152.1</v>
      </c>
      <c r="M182">
        <v>131.80000000000001</v>
      </c>
      <c r="N182">
        <v>119.5</v>
      </c>
      <c r="O182">
        <v>136</v>
      </c>
      <c r="P182">
        <v>131.19999999999999</v>
      </c>
      <c r="Q182">
        <v>151.80000000000001</v>
      </c>
      <c r="R182">
        <v>140.4</v>
      </c>
      <c r="S182">
        <v>153.6</v>
      </c>
      <c r="T182">
        <v>148.30000000000001</v>
      </c>
      <c r="U182">
        <v>142.30000000000001</v>
      </c>
      <c r="V182">
        <v>147.5</v>
      </c>
      <c r="W182" s="3">
        <v>141</v>
      </c>
      <c r="X182">
        <v>142.30000000000001</v>
      </c>
      <c r="Y182">
        <v>139.80000000000001</v>
      </c>
      <c r="Z182">
        <v>136</v>
      </c>
      <c r="AA182">
        <v>122.7</v>
      </c>
      <c r="AB182">
        <v>134.30000000000001</v>
      </c>
      <c r="AC182">
        <v>141.6</v>
      </c>
      <c r="AD182">
        <v>128.6</v>
      </c>
      <c r="AE182">
        <v>132.30000000000001</v>
      </c>
      <c r="AF182">
        <v>139.30000000000001</v>
      </c>
      <c r="AG18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83" spans="1:33" hidden="1" x14ac:dyDescent="0.3">
      <c r="A183" t="s">
        <v>32</v>
      </c>
      <c r="B183">
        <v>2018</v>
      </c>
      <c r="C183" t="s">
        <v>31</v>
      </c>
      <c r="D183" s="10">
        <f>DATE(All_India_Index_Upto_April23__13[[#This Row],[Year]],All_India_Index_Upto_April23__13[[#This Row],[Month Number]],1)</f>
        <v>43101</v>
      </c>
      <c r="E183" s="2" t="str">
        <f>IF(All_India_Index_Upto_April23__13[[#This Row],[Date]]&lt;DATE(2020, 3, 1),"Pre-COVID","Post-COVID")</f>
        <v>Pre-COVID</v>
      </c>
      <c r="F183">
        <v>134.6</v>
      </c>
      <c r="G183">
        <v>143.69999999999999</v>
      </c>
      <c r="H183">
        <v>143.6</v>
      </c>
      <c r="I183">
        <v>139.6</v>
      </c>
      <c r="J183">
        <v>116.4</v>
      </c>
      <c r="K183">
        <v>133.80000000000001</v>
      </c>
      <c r="L183">
        <v>150.5</v>
      </c>
      <c r="M183">
        <v>118.4</v>
      </c>
      <c r="N183">
        <v>117.3</v>
      </c>
      <c r="O183">
        <v>140.5</v>
      </c>
      <c r="P183">
        <v>125.9</v>
      </c>
      <c r="Q183">
        <v>146.80000000000001</v>
      </c>
      <c r="R183">
        <v>137.19999999999999</v>
      </c>
      <c r="S183">
        <v>157.69999999999999</v>
      </c>
      <c r="T183">
        <v>136</v>
      </c>
      <c r="U183">
        <v>125.9</v>
      </c>
      <c r="V183">
        <v>134.4</v>
      </c>
      <c r="W183" s="3">
        <v>140.4</v>
      </c>
      <c r="X183">
        <v>127.3</v>
      </c>
      <c r="Y183">
        <v>129.5</v>
      </c>
      <c r="Z183">
        <v>129</v>
      </c>
      <c r="AA183">
        <v>116.3</v>
      </c>
      <c r="AB183">
        <v>126.2</v>
      </c>
      <c r="AC183">
        <v>137.1</v>
      </c>
      <c r="AD183">
        <v>125.5</v>
      </c>
      <c r="AE183">
        <v>125.8</v>
      </c>
      <c r="AF183">
        <v>134.1</v>
      </c>
      <c r="AG18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84" spans="1:33" x14ac:dyDescent="0.3">
      <c r="A184" t="s">
        <v>33</v>
      </c>
      <c r="B184">
        <v>2018</v>
      </c>
      <c r="C184" t="s">
        <v>36</v>
      </c>
      <c r="D184" s="10">
        <f>DATE(All_India_Index_Upto_April23__13[[#This Row],[Year]],All_India_Index_Upto_April23__13[[#This Row],[Month Number]],1)</f>
        <v>43191</v>
      </c>
      <c r="E184" s="2" t="str">
        <f>IF(All_India_Index_Upto_April23__13[[#This Row],[Date]]&lt;DATE(2020, 3, 1),"Pre-COVID","Post-COVID")</f>
        <v>Pre-COVID</v>
      </c>
      <c r="F184">
        <v>136.4</v>
      </c>
      <c r="G184">
        <v>144.4</v>
      </c>
      <c r="H184">
        <v>133.9</v>
      </c>
      <c r="I184">
        <v>141.6</v>
      </c>
      <c r="J184">
        <v>121</v>
      </c>
      <c r="K184">
        <v>153.5</v>
      </c>
      <c r="L184">
        <v>132.6</v>
      </c>
      <c r="M184">
        <v>123.5</v>
      </c>
      <c r="N184">
        <v>113.7</v>
      </c>
      <c r="O184">
        <v>138.19999999999999</v>
      </c>
      <c r="P184">
        <v>129.6</v>
      </c>
      <c r="Q184">
        <v>151.19999999999999</v>
      </c>
      <c r="R184">
        <v>137.5</v>
      </c>
      <c r="S184">
        <v>156.9</v>
      </c>
      <c r="T184">
        <v>145.30000000000001</v>
      </c>
      <c r="U184">
        <v>136.69999999999999</v>
      </c>
      <c r="V184">
        <v>144</v>
      </c>
      <c r="W184" s="3">
        <v>142.9</v>
      </c>
      <c r="X184">
        <v>136.5</v>
      </c>
      <c r="Y184">
        <v>136.6</v>
      </c>
      <c r="Z184">
        <v>135.19999999999999</v>
      </c>
      <c r="AA184">
        <v>121.9</v>
      </c>
      <c r="AB184">
        <v>131.30000000000001</v>
      </c>
      <c r="AC184">
        <v>141.4</v>
      </c>
      <c r="AD184">
        <v>129.19999999999999</v>
      </c>
      <c r="AE184">
        <v>131.30000000000001</v>
      </c>
      <c r="AF184">
        <v>137.1</v>
      </c>
      <c r="AG18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85" spans="1:33" hidden="1" x14ac:dyDescent="0.3">
      <c r="A185" t="s">
        <v>30</v>
      </c>
      <c r="B185">
        <v>2018</v>
      </c>
      <c r="C185" t="s">
        <v>34</v>
      </c>
      <c r="D185" s="10">
        <f>DATE(All_India_Index_Upto_April23__13[[#This Row],[Year]],All_India_Index_Upto_April23__13[[#This Row],[Month Number]],1)</f>
        <v>43132</v>
      </c>
      <c r="E185" s="2" t="str">
        <f>IF(All_India_Index_Upto_April23__13[[#This Row],[Date]]&lt;DATE(2020, 3, 1),"Pre-COVID","Post-COVID")</f>
        <v>Pre-COVID</v>
      </c>
      <c r="F185">
        <v>136.4</v>
      </c>
      <c r="G185">
        <v>143.69999999999999</v>
      </c>
      <c r="H185">
        <v>140.6</v>
      </c>
      <c r="I185">
        <v>141.5</v>
      </c>
      <c r="J185">
        <v>122.9</v>
      </c>
      <c r="K185">
        <v>149.4</v>
      </c>
      <c r="L185">
        <v>142.4</v>
      </c>
      <c r="M185">
        <v>130.19999999999999</v>
      </c>
      <c r="N185">
        <v>117.9</v>
      </c>
      <c r="O185">
        <v>135.6</v>
      </c>
      <c r="P185">
        <v>130.5</v>
      </c>
      <c r="Q185">
        <v>151.69999999999999</v>
      </c>
      <c r="R185">
        <v>138.69999999999999</v>
      </c>
      <c r="S185">
        <v>153.30000000000001</v>
      </c>
      <c r="T185">
        <v>148.69999999999999</v>
      </c>
      <c r="U185">
        <v>142.4</v>
      </c>
      <c r="V185">
        <v>147.80000000000001</v>
      </c>
      <c r="W185" s="3">
        <v>141</v>
      </c>
      <c r="X185">
        <v>142.4</v>
      </c>
      <c r="Y185">
        <v>139.9</v>
      </c>
      <c r="Z185">
        <v>136.19999999999999</v>
      </c>
      <c r="AA185">
        <v>123.3</v>
      </c>
      <c r="AB185">
        <v>134.30000000000001</v>
      </c>
      <c r="AC185">
        <v>141.5</v>
      </c>
      <c r="AD185">
        <v>128.80000000000001</v>
      </c>
      <c r="AE185">
        <v>132.5</v>
      </c>
      <c r="AF185">
        <v>138.5</v>
      </c>
      <c r="AG18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86" spans="1:33" hidden="1" x14ac:dyDescent="0.3">
      <c r="A186" t="s">
        <v>32</v>
      </c>
      <c r="B186">
        <v>2018</v>
      </c>
      <c r="C186" t="s">
        <v>34</v>
      </c>
      <c r="D186" s="10">
        <f>DATE(All_India_Index_Upto_April23__13[[#This Row],[Year]],All_India_Index_Upto_April23__13[[#This Row],[Month Number]],1)</f>
        <v>43132</v>
      </c>
      <c r="E186" s="2" t="str">
        <f>IF(All_India_Index_Upto_April23__13[[#This Row],[Date]]&lt;DATE(2020, 3, 1),"Pre-COVID","Post-COVID")</f>
        <v>Pre-COVID</v>
      </c>
      <c r="F186">
        <v>134.80000000000001</v>
      </c>
      <c r="G186">
        <v>143</v>
      </c>
      <c r="H186">
        <v>139.9</v>
      </c>
      <c r="I186">
        <v>139.9</v>
      </c>
      <c r="J186">
        <v>116.2</v>
      </c>
      <c r="K186">
        <v>135.5</v>
      </c>
      <c r="L186">
        <v>136.9</v>
      </c>
      <c r="M186">
        <v>117</v>
      </c>
      <c r="N186">
        <v>115.4</v>
      </c>
      <c r="O186">
        <v>140.69999999999999</v>
      </c>
      <c r="P186">
        <v>125.9</v>
      </c>
      <c r="Q186">
        <v>147.1</v>
      </c>
      <c r="R186">
        <v>135.6</v>
      </c>
      <c r="S186">
        <v>159.30000000000001</v>
      </c>
      <c r="T186">
        <v>136.30000000000001</v>
      </c>
      <c r="U186">
        <v>126.1</v>
      </c>
      <c r="V186">
        <v>134.69999999999999</v>
      </c>
      <c r="W186" s="3">
        <v>141.30000000000001</v>
      </c>
      <c r="X186">
        <v>127.3</v>
      </c>
      <c r="Y186">
        <v>129.9</v>
      </c>
      <c r="Z186">
        <v>129.80000000000001</v>
      </c>
      <c r="AA186">
        <v>117.4</v>
      </c>
      <c r="AB186">
        <v>126.5</v>
      </c>
      <c r="AC186">
        <v>137.19999999999999</v>
      </c>
      <c r="AD186">
        <v>126.2</v>
      </c>
      <c r="AE186">
        <v>126.5</v>
      </c>
      <c r="AF186">
        <v>134</v>
      </c>
      <c r="AG18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87" spans="1:33" x14ac:dyDescent="0.3">
      <c r="A187" t="s">
        <v>33</v>
      </c>
      <c r="B187">
        <v>2018</v>
      </c>
      <c r="C187" t="s">
        <v>35</v>
      </c>
      <c r="D187" s="10">
        <f>DATE(All_India_Index_Upto_April23__13[[#This Row],[Year]],All_India_Index_Upto_April23__13[[#This Row],[Month Number]],1)</f>
        <v>43160</v>
      </c>
      <c r="E187" s="2" t="str">
        <f>IF(All_India_Index_Upto_April23__13[[#This Row],[Date]]&lt;DATE(2020, 3, 1),"Pre-COVID","Post-COVID")</f>
        <v>Pre-COVID</v>
      </c>
      <c r="F187">
        <v>136.19999999999999</v>
      </c>
      <c r="G187">
        <v>143.6</v>
      </c>
      <c r="H187">
        <v>138.30000000000001</v>
      </c>
      <c r="I187">
        <v>141.19999999999999</v>
      </c>
      <c r="J187">
        <v>120.7</v>
      </c>
      <c r="K187">
        <v>146.19999999999999</v>
      </c>
      <c r="L187">
        <v>134.6</v>
      </c>
      <c r="M187">
        <v>124.6</v>
      </c>
      <c r="N187">
        <v>116.1</v>
      </c>
      <c r="O187">
        <v>137.80000000000001</v>
      </c>
      <c r="P187">
        <v>129.1</v>
      </c>
      <c r="Q187">
        <v>150.4</v>
      </c>
      <c r="R187">
        <v>137.19999999999999</v>
      </c>
      <c r="S187">
        <v>156.30000000000001</v>
      </c>
      <c r="T187">
        <v>144.30000000000001</v>
      </c>
      <c r="U187">
        <v>136.19999999999999</v>
      </c>
      <c r="V187">
        <v>143.1</v>
      </c>
      <c r="W187" s="3">
        <v>142</v>
      </c>
      <c r="X187">
        <v>136.5</v>
      </c>
      <c r="Y187">
        <v>135.6</v>
      </c>
      <c r="Z187">
        <v>134.30000000000001</v>
      </c>
      <c r="AA187">
        <v>121</v>
      </c>
      <c r="AB187">
        <v>130.4</v>
      </c>
      <c r="AC187">
        <v>139.80000000000001</v>
      </c>
      <c r="AD187">
        <v>128.19999999999999</v>
      </c>
      <c r="AE187">
        <v>130.30000000000001</v>
      </c>
      <c r="AF187">
        <v>136.5</v>
      </c>
      <c r="AG18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88" spans="1:33" hidden="1" x14ac:dyDescent="0.3">
      <c r="A188" t="s">
        <v>30</v>
      </c>
      <c r="B188">
        <v>2018</v>
      </c>
      <c r="C188" t="s">
        <v>35</v>
      </c>
      <c r="D188" s="10">
        <f>DATE(All_India_Index_Upto_April23__13[[#This Row],[Year]],All_India_Index_Upto_April23__13[[#This Row],[Month Number]],1)</f>
        <v>43160</v>
      </c>
      <c r="E188" s="2" t="str">
        <f>IF(All_India_Index_Upto_April23__13[[#This Row],[Date]]&lt;DATE(2020, 3, 1),"Pre-COVID","Post-COVID")</f>
        <v>Pre-COVID</v>
      </c>
      <c r="F188">
        <v>136.80000000000001</v>
      </c>
      <c r="G188">
        <v>143.80000000000001</v>
      </c>
      <c r="H188">
        <v>140</v>
      </c>
      <c r="I188">
        <v>142</v>
      </c>
      <c r="J188">
        <v>123.2</v>
      </c>
      <c r="K188">
        <v>152.9</v>
      </c>
      <c r="L188">
        <v>138</v>
      </c>
      <c r="M188">
        <v>129.30000000000001</v>
      </c>
      <c r="N188">
        <v>117.1</v>
      </c>
      <c r="O188">
        <v>136.30000000000001</v>
      </c>
      <c r="P188">
        <v>131.19999999999999</v>
      </c>
      <c r="Q188">
        <v>152.80000000000001</v>
      </c>
      <c r="R188">
        <v>138.6</v>
      </c>
      <c r="S188">
        <v>155.1</v>
      </c>
      <c r="T188">
        <v>149.19999999999999</v>
      </c>
      <c r="U188">
        <v>143</v>
      </c>
      <c r="V188">
        <v>148.30000000000001</v>
      </c>
      <c r="W188" s="3">
        <v>141</v>
      </c>
      <c r="X188">
        <v>142.6</v>
      </c>
      <c r="Y188">
        <v>139.9</v>
      </c>
      <c r="Z188">
        <v>136.69999999999999</v>
      </c>
      <c r="AA188">
        <v>124.6</v>
      </c>
      <c r="AB188">
        <v>135.1</v>
      </c>
      <c r="AC188">
        <v>142.69999999999999</v>
      </c>
      <c r="AD188">
        <v>129.30000000000001</v>
      </c>
      <c r="AE188">
        <v>133.30000000000001</v>
      </c>
      <c r="AF188">
        <v>138.69999999999999</v>
      </c>
      <c r="AG18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89" spans="1:33" hidden="1" x14ac:dyDescent="0.3">
      <c r="A189" t="s">
        <v>32</v>
      </c>
      <c r="B189">
        <v>2018</v>
      </c>
      <c r="C189" t="s">
        <v>35</v>
      </c>
      <c r="D189" s="10">
        <f>DATE(All_India_Index_Upto_April23__13[[#This Row],[Year]],All_India_Index_Upto_April23__13[[#This Row],[Month Number]],1)</f>
        <v>43160</v>
      </c>
      <c r="E189" s="2" t="str">
        <f>IF(All_India_Index_Upto_April23__13[[#This Row],[Date]]&lt;DATE(2020, 3, 1),"Pre-COVID","Post-COVID")</f>
        <v>Pre-COVID</v>
      </c>
      <c r="F189">
        <v>135</v>
      </c>
      <c r="G189">
        <v>143.1</v>
      </c>
      <c r="H189">
        <v>135.5</v>
      </c>
      <c r="I189">
        <v>139.9</v>
      </c>
      <c r="J189">
        <v>116.5</v>
      </c>
      <c r="K189">
        <v>138.5</v>
      </c>
      <c r="L189">
        <v>128</v>
      </c>
      <c r="M189">
        <v>115.5</v>
      </c>
      <c r="N189">
        <v>114.2</v>
      </c>
      <c r="O189">
        <v>140.69999999999999</v>
      </c>
      <c r="P189">
        <v>126.2</v>
      </c>
      <c r="Q189">
        <v>147.6</v>
      </c>
      <c r="R189">
        <v>134.80000000000001</v>
      </c>
      <c r="S189">
        <v>159.69999999999999</v>
      </c>
      <c r="T189">
        <v>136.69999999999999</v>
      </c>
      <c r="U189">
        <v>126.7</v>
      </c>
      <c r="V189">
        <v>135.19999999999999</v>
      </c>
      <c r="W189" s="3">
        <v>142</v>
      </c>
      <c r="X189">
        <v>126.4</v>
      </c>
      <c r="Y189">
        <v>130.80000000000001</v>
      </c>
      <c r="Z189">
        <v>130.5</v>
      </c>
      <c r="AA189">
        <v>117.8</v>
      </c>
      <c r="AB189">
        <v>126.8</v>
      </c>
      <c r="AC189">
        <v>137.80000000000001</v>
      </c>
      <c r="AD189">
        <v>126.7</v>
      </c>
      <c r="AE189">
        <v>127.1</v>
      </c>
      <c r="AF189">
        <v>134</v>
      </c>
      <c r="AG18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190" spans="1:33" x14ac:dyDescent="0.3">
      <c r="A190" t="s">
        <v>33</v>
      </c>
      <c r="B190">
        <v>2018</v>
      </c>
      <c r="C190" t="s">
        <v>34</v>
      </c>
      <c r="D190" s="10">
        <f>DATE(All_India_Index_Upto_April23__13[[#This Row],[Year]],All_India_Index_Upto_April23__13[[#This Row],[Month Number]],1)</f>
        <v>43132</v>
      </c>
      <c r="E190" s="2" t="str">
        <f>IF(All_India_Index_Upto_April23__13[[#This Row],[Date]]&lt;DATE(2020, 3, 1),"Pre-COVID","Post-COVID")</f>
        <v>Pre-COVID</v>
      </c>
      <c r="F190">
        <v>135.9</v>
      </c>
      <c r="G190">
        <v>143.5</v>
      </c>
      <c r="H190">
        <v>140.30000000000001</v>
      </c>
      <c r="I190">
        <v>140.9</v>
      </c>
      <c r="J190">
        <v>120.4</v>
      </c>
      <c r="K190">
        <v>142.9</v>
      </c>
      <c r="L190">
        <v>140.5</v>
      </c>
      <c r="M190">
        <v>125.8</v>
      </c>
      <c r="N190">
        <v>117.1</v>
      </c>
      <c r="O190">
        <v>137.30000000000001</v>
      </c>
      <c r="P190">
        <v>128.6</v>
      </c>
      <c r="Q190">
        <v>149.6</v>
      </c>
      <c r="R190">
        <v>137.6</v>
      </c>
      <c r="S190">
        <v>154.9</v>
      </c>
      <c r="T190">
        <v>143.80000000000001</v>
      </c>
      <c r="U190">
        <v>135.6</v>
      </c>
      <c r="V190">
        <v>142.6</v>
      </c>
      <c r="W190" s="3">
        <v>141.30000000000001</v>
      </c>
      <c r="X190">
        <v>136.69999999999999</v>
      </c>
      <c r="Y190">
        <v>135.19999999999999</v>
      </c>
      <c r="Z190">
        <v>133.80000000000001</v>
      </c>
      <c r="AA190">
        <v>120.2</v>
      </c>
      <c r="AB190">
        <v>129.9</v>
      </c>
      <c r="AC190">
        <v>139</v>
      </c>
      <c r="AD190">
        <v>127.7</v>
      </c>
      <c r="AE190">
        <v>129.6</v>
      </c>
      <c r="AF190">
        <v>136.4</v>
      </c>
      <c r="AG19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191" spans="1:33" hidden="1" x14ac:dyDescent="0.3">
      <c r="A191" t="s">
        <v>30</v>
      </c>
      <c r="B191">
        <v>2018</v>
      </c>
      <c r="C191" t="s">
        <v>36</v>
      </c>
      <c r="D191" s="10">
        <f>DATE(All_India_Index_Upto_April23__13[[#This Row],[Year]],All_India_Index_Upto_April23__13[[#This Row],[Month Number]],1)</f>
        <v>43191</v>
      </c>
      <c r="E191" s="2" t="str">
        <f>IF(All_India_Index_Upto_April23__13[[#This Row],[Date]]&lt;DATE(2020, 3, 1),"Pre-COVID","Post-COVID")</f>
        <v>Pre-COVID</v>
      </c>
      <c r="F191">
        <v>137.1</v>
      </c>
      <c r="G191">
        <v>144.5</v>
      </c>
      <c r="H191">
        <v>135.9</v>
      </c>
      <c r="I191">
        <v>142.4</v>
      </c>
      <c r="J191">
        <v>123.5</v>
      </c>
      <c r="K191">
        <v>156.4</v>
      </c>
      <c r="L191">
        <v>135.1</v>
      </c>
      <c r="M191">
        <v>128.4</v>
      </c>
      <c r="N191">
        <v>115.2</v>
      </c>
      <c r="O191">
        <v>137.19999999999999</v>
      </c>
      <c r="P191">
        <v>131.9</v>
      </c>
      <c r="Q191">
        <v>153.80000000000001</v>
      </c>
      <c r="R191">
        <v>138.6</v>
      </c>
      <c r="S191">
        <v>156.1</v>
      </c>
      <c r="T191">
        <v>150.1</v>
      </c>
      <c r="U191">
        <v>143.30000000000001</v>
      </c>
      <c r="V191">
        <v>149.1</v>
      </c>
      <c r="W191" s="3">
        <v>141</v>
      </c>
      <c r="X191">
        <v>143.80000000000001</v>
      </c>
      <c r="Y191">
        <v>140.9</v>
      </c>
      <c r="Z191">
        <v>137.6</v>
      </c>
      <c r="AA191">
        <v>125.3</v>
      </c>
      <c r="AB191">
        <v>136</v>
      </c>
      <c r="AC191">
        <v>143.69999999999999</v>
      </c>
      <c r="AD191">
        <v>130.4</v>
      </c>
      <c r="AE191">
        <v>134.19999999999999</v>
      </c>
      <c r="AF191">
        <v>139.1</v>
      </c>
      <c r="AG19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92" spans="1:33" hidden="1" x14ac:dyDescent="0.3">
      <c r="A192" t="s">
        <v>32</v>
      </c>
      <c r="B192">
        <v>2018</v>
      </c>
      <c r="C192" t="s">
        <v>36</v>
      </c>
      <c r="D192" s="10">
        <f>DATE(All_India_Index_Upto_April23__13[[#This Row],[Year]],All_India_Index_Upto_April23__13[[#This Row],[Month Number]],1)</f>
        <v>43191</v>
      </c>
      <c r="E192" s="2" t="str">
        <f>IF(All_India_Index_Upto_April23__13[[#This Row],[Date]]&lt;DATE(2020, 3, 1),"Pre-COVID","Post-COVID")</f>
        <v>Pre-COVID</v>
      </c>
      <c r="F192">
        <v>135</v>
      </c>
      <c r="G192">
        <v>144.30000000000001</v>
      </c>
      <c r="H192">
        <v>130.80000000000001</v>
      </c>
      <c r="I192">
        <v>140.30000000000001</v>
      </c>
      <c r="J192">
        <v>116.6</v>
      </c>
      <c r="K192">
        <v>150.1</v>
      </c>
      <c r="L192">
        <v>127.6</v>
      </c>
      <c r="M192">
        <v>114</v>
      </c>
      <c r="N192">
        <v>110.6</v>
      </c>
      <c r="O192">
        <v>140.19999999999999</v>
      </c>
      <c r="P192">
        <v>126.5</v>
      </c>
      <c r="Q192">
        <v>148.30000000000001</v>
      </c>
      <c r="R192">
        <v>135.69999999999999</v>
      </c>
      <c r="S192">
        <v>159.19999999999999</v>
      </c>
      <c r="T192">
        <v>137.80000000000001</v>
      </c>
      <c r="U192">
        <v>127.4</v>
      </c>
      <c r="V192">
        <v>136.19999999999999</v>
      </c>
      <c r="W192" s="3">
        <v>142.9</v>
      </c>
      <c r="X192">
        <v>124.6</v>
      </c>
      <c r="Y192">
        <v>131.80000000000001</v>
      </c>
      <c r="Z192">
        <v>131.30000000000001</v>
      </c>
      <c r="AA192">
        <v>118.9</v>
      </c>
      <c r="AB192">
        <v>127.6</v>
      </c>
      <c r="AC192">
        <v>139.69999999999999</v>
      </c>
      <c r="AD192">
        <v>127.6</v>
      </c>
      <c r="AE192">
        <v>128.19999999999999</v>
      </c>
      <c r="AF192">
        <v>134.80000000000001</v>
      </c>
      <c r="AG19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193" spans="1:33" x14ac:dyDescent="0.3">
      <c r="A193" t="s">
        <v>33</v>
      </c>
      <c r="B193">
        <v>2018</v>
      </c>
      <c r="C193" t="s">
        <v>31</v>
      </c>
      <c r="D193" s="10">
        <f>DATE(All_India_Index_Upto_April23__13[[#This Row],[Year]],All_India_Index_Upto_April23__13[[#This Row],[Month Number]],1)</f>
        <v>43101</v>
      </c>
      <c r="E193" s="2" t="str">
        <f>IF(All_India_Index_Upto_April23__13[[#This Row],[Date]]&lt;DATE(2020, 3, 1),"Pre-COVID","Post-COVID")</f>
        <v>Pre-COVID</v>
      </c>
      <c r="F193">
        <v>136</v>
      </c>
      <c r="G193">
        <v>144.19999999999999</v>
      </c>
      <c r="H193">
        <v>143.69999999999999</v>
      </c>
      <c r="I193">
        <v>141.1</v>
      </c>
      <c r="J193">
        <v>120.7</v>
      </c>
      <c r="K193">
        <v>141.30000000000001</v>
      </c>
      <c r="L193">
        <v>151.6</v>
      </c>
      <c r="M193">
        <v>127.3</v>
      </c>
      <c r="N193">
        <v>118.8</v>
      </c>
      <c r="O193">
        <v>137.5</v>
      </c>
      <c r="P193">
        <v>129</v>
      </c>
      <c r="Q193">
        <v>149.5</v>
      </c>
      <c r="R193">
        <v>139.19999999999999</v>
      </c>
      <c r="S193">
        <v>154.69999999999999</v>
      </c>
      <c r="T193">
        <v>143.5</v>
      </c>
      <c r="U193">
        <v>135.5</v>
      </c>
      <c r="V193">
        <v>142.30000000000001</v>
      </c>
      <c r="W193" s="3">
        <v>140.4</v>
      </c>
      <c r="X193">
        <v>136.6</v>
      </c>
      <c r="Y193">
        <v>134.9</v>
      </c>
      <c r="Z193">
        <v>133.30000000000001</v>
      </c>
      <c r="AA193">
        <v>119.3</v>
      </c>
      <c r="AB193">
        <v>129.69999999999999</v>
      </c>
      <c r="AC193">
        <v>139</v>
      </c>
      <c r="AD193">
        <v>127.3</v>
      </c>
      <c r="AE193">
        <v>129.1</v>
      </c>
      <c r="AF193">
        <v>136.9</v>
      </c>
      <c r="AG19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194" spans="1:33" hidden="1" x14ac:dyDescent="0.3">
      <c r="A194" t="s">
        <v>30</v>
      </c>
      <c r="B194">
        <v>2018</v>
      </c>
      <c r="C194" t="s">
        <v>37</v>
      </c>
      <c r="D194" s="10">
        <f>DATE(All_India_Index_Upto_April23__13[[#This Row],[Year]],All_India_Index_Upto_April23__13[[#This Row],[Month Number]],1)</f>
        <v>43221</v>
      </c>
      <c r="E194" s="2" t="str">
        <f>IF(All_India_Index_Upto_April23__13[[#This Row],[Date]]&lt;DATE(2020, 3, 1),"Pre-COVID","Post-COVID")</f>
        <v>Pre-COVID</v>
      </c>
      <c r="F194">
        <v>137.4</v>
      </c>
      <c r="G194">
        <v>145.69999999999999</v>
      </c>
      <c r="H194">
        <v>135.5</v>
      </c>
      <c r="I194">
        <v>142.9</v>
      </c>
      <c r="J194">
        <v>123.6</v>
      </c>
      <c r="K194">
        <v>157.5</v>
      </c>
      <c r="L194">
        <v>137.80000000000001</v>
      </c>
      <c r="M194">
        <v>127.2</v>
      </c>
      <c r="N194">
        <v>111.8</v>
      </c>
      <c r="O194">
        <v>137.4</v>
      </c>
      <c r="P194">
        <v>132.19999999999999</v>
      </c>
      <c r="Q194">
        <v>154.30000000000001</v>
      </c>
      <c r="R194">
        <v>139.1</v>
      </c>
      <c r="S194">
        <v>157</v>
      </c>
      <c r="T194">
        <v>150.80000000000001</v>
      </c>
      <c r="U194">
        <v>144.1</v>
      </c>
      <c r="V194">
        <v>149.80000000000001</v>
      </c>
      <c r="W194" s="3">
        <v>141</v>
      </c>
      <c r="X194">
        <v>144.30000000000001</v>
      </c>
      <c r="Y194">
        <v>141.80000000000001</v>
      </c>
      <c r="Z194">
        <v>138.4</v>
      </c>
      <c r="AA194">
        <v>126.4</v>
      </c>
      <c r="AB194">
        <v>136.80000000000001</v>
      </c>
      <c r="AC194">
        <v>144.4</v>
      </c>
      <c r="AD194">
        <v>131.19999999999999</v>
      </c>
      <c r="AE194">
        <v>135.1</v>
      </c>
      <c r="AF194">
        <v>139.80000000000001</v>
      </c>
      <c r="AG19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95" spans="1:33" hidden="1" x14ac:dyDescent="0.3">
      <c r="A195" t="s">
        <v>32</v>
      </c>
      <c r="B195">
        <v>2018</v>
      </c>
      <c r="C195" t="s">
        <v>37</v>
      </c>
      <c r="D195" s="10">
        <f>DATE(All_India_Index_Upto_April23__13[[#This Row],[Year]],All_India_Index_Upto_April23__13[[#This Row],[Month Number]],1)</f>
        <v>43221</v>
      </c>
      <c r="E195" s="2" t="str">
        <f>IF(All_India_Index_Upto_April23__13[[#This Row],[Date]]&lt;DATE(2020, 3, 1),"Pre-COVID","Post-COVID")</f>
        <v>Pre-COVID</v>
      </c>
      <c r="F195">
        <v>135</v>
      </c>
      <c r="G195">
        <v>148.19999999999999</v>
      </c>
      <c r="H195">
        <v>130.5</v>
      </c>
      <c r="I195">
        <v>140.69999999999999</v>
      </c>
      <c r="J195">
        <v>116.4</v>
      </c>
      <c r="K195">
        <v>151.30000000000001</v>
      </c>
      <c r="L195">
        <v>131.4</v>
      </c>
      <c r="M195">
        <v>112.8</v>
      </c>
      <c r="N195">
        <v>105.3</v>
      </c>
      <c r="O195">
        <v>139.6</v>
      </c>
      <c r="P195">
        <v>126.6</v>
      </c>
      <c r="Q195">
        <v>148.69999999999999</v>
      </c>
      <c r="R195">
        <v>136.4</v>
      </c>
      <c r="S195">
        <v>160.30000000000001</v>
      </c>
      <c r="T195">
        <v>138.6</v>
      </c>
      <c r="U195">
        <v>127.9</v>
      </c>
      <c r="V195">
        <v>137</v>
      </c>
      <c r="W195" s="3">
        <v>143.19999999999999</v>
      </c>
      <c r="X195">
        <v>124.7</v>
      </c>
      <c r="Y195">
        <v>132.5</v>
      </c>
      <c r="Z195">
        <v>132</v>
      </c>
      <c r="AA195">
        <v>119.8</v>
      </c>
      <c r="AB195">
        <v>128</v>
      </c>
      <c r="AC195">
        <v>140.4</v>
      </c>
      <c r="AD195">
        <v>128.1</v>
      </c>
      <c r="AE195">
        <v>128.9</v>
      </c>
      <c r="AF195">
        <v>135.4</v>
      </c>
      <c r="AG19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196" spans="1:33" x14ac:dyDescent="0.3">
      <c r="A196" t="s">
        <v>33</v>
      </c>
      <c r="B196">
        <v>2017</v>
      </c>
      <c r="C196" t="s">
        <v>44</v>
      </c>
      <c r="D196" s="10">
        <f>DATE(All_India_Index_Upto_April23__13[[#This Row],[Year]],All_India_Index_Upto_April23__13[[#This Row],[Month Number]],1)</f>
        <v>43070</v>
      </c>
      <c r="E196" s="2" t="str">
        <f>IF(All_India_Index_Upto_April23__13[[#This Row],[Date]]&lt;DATE(2020, 3, 1),"Pre-COVID","Post-COVID")</f>
        <v>Pre-COVID</v>
      </c>
      <c r="F196">
        <v>135.80000000000001</v>
      </c>
      <c r="G196">
        <v>143.30000000000001</v>
      </c>
      <c r="H196">
        <v>145.19999999999999</v>
      </c>
      <c r="I196">
        <v>141</v>
      </c>
      <c r="J196">
        <v>120.5</v>
      </c>
      <c r="K196">
        <v>141.5</v>
      </c>
      <c r="L196">
        <v>161.69999999999999</v>
      </c>
      <c r="M196">
        <v>129.1</v>
      </c>
      <c r="N196">
        <v>121.5</v>
      </c>
      <c r="O196">
        <v>137.1</v>
      </c>
      <c r="P196">
        <v>128.80000000000001</v>
      </c>
      <c r="Q196">
        <v>149</v>
      </c>
      <c r="R196">
        <v>140.5</v>
      </c>
      <c r="S196">
        <v>154.19999999999999</v>
      </c>
      <c r="T196">
        <v>143.1</v>
      </c>
      <c r="U196">
        <v>135.1</v>
      </c>
      <c r="V196">
        <v>142</v>
      </c>
      <c r="W196" s="3">
        <v>139.1</v>
      </c>
      <c r="X196">
        <v>136.6</v>
      </c>
      <c r="Y196">
        <v>134.69999999999999</v>
      </c>
      <c r="Z196">
        <v>133.1</v>
      </c>
      <c r="AA196">
        <v>118.5</v>
      </c>
      <c r="AB196">
        <v>129</v>
      </c>
      <c r="AC196">
        <v>138.5</v>
      </c>
      <c r="AD196">
        <v>126.5</v>
      </c>
      <c r="AE196">
        <v>128.6</v>
      </c>
      <c r="AF196">
        <v>137.19999999999999</v>
      </c>
      <c r="AG19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197" spans="1:33" hidden="1" x14ac:dyDescent="0.3">
      <c r="A197" t="s">
        <v>30</v>
      </c>
      <c r="B197">
        <v>2018</v>
      </c>
      <c r="C197" t="s">
        <v>38</v>
      </c>
      <c r="D197" s="10">
        <f>DATE(All_India_Index_Upto_April23__13[[#This Row],[Year]],All_India_Index_Upto_April23__13[[#This Row],[Month Number]],1)</f>
        <v>43252</v>
      </c>
      <c r="E197" s="2" t="str">
        <f>IF(All_India_Index_Upto_April23__13[[#This Row],[Date]]&lt;DATE(2020, 3, 1),"Pre-COVID","Post-COVID")</f>
        <v>Pre-COVID</v>
      </c>
      <c r="F197">
        <v>137.6</v>
      </c>
      <c r="G197">
        <v>148.1</v>
      </c>
      <c r="H197">
        <v>136.69999999999999</v>
      </c>
      <c r="I197">
        <v>143.19999999999999</v>
      </c>
      <c r="J197">
        <v>124</v>
      </c>
      <c r="K197">
        <v>154.1</v>
      </c>
      <c r="L197">
        <v>143.5</v>
      </c>
      <c r="M197">
        <v>126</v>
      </c>
      <c r="N197">
        <v>112.4</v>
      </c>
      <c r="O197">
        <v>137.6</v>
      </c>
      <c r="P197">
        <v>132.80000000000001</v>
      </c>
      <c r="Q197">
        <v>154.30000000000001</v>
      </c>
      <c r="R197">
        <v>140</v>
      </c>
      <c r="S197">
        <v>157.30000000000001</v>
      </c>
      <c r="T197">
        <v>151.30000000000001</v>
      </c>
      <c r="U197">
        <v>144.69999999999999</v>
      </c>
      <c r="V197">
        <v>150.30000000000001</v>
      </c>
      <c r="W197" s="3">
        <v>141</v>
      </c>
      <c r="X197">
        <v>145.1</v>
      </c>
      <c r="Y197">
        <v>142.19999999999999</v>
      </c>
      <c r="Z197">
        <v>138.4</v>
      </c>
      <c r="AA197">
        <v>127.4</v>
      </c>
      <c r="AB197">
        <v>137.80000000000001</v>
      </c>
      <c r="AC197">
        <v>145.1</v>
      </c>
      <c r="AD197">
        <v>131.4</v>
      </c>
      <c r="AE197">
        <v>135.6</v>
      </c>
      <c r="AF197">
        <v>140.5</v>
      </c>
      <c r="AG19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98" spans="1:33" hidden="1" x14ac:dyDescent="0.3">
      <c r="A198" t="s">
        <v>32</v>
      </c>
      <c r="B198">
        <v>2018</v>
      </c>
      <c r="C198" t="s">
        <v>38</v>
      </c>
      <c r="D198" s="10">
        <f>DATE(All_India_Index_Upto_April23__13[[#This Row],[Year]],All_India_Index_Upto_April23__13[[#This Row],[Month Number]],1)</f>
        <v>43252</v>
      </c>
      <c r="E198" s="2" t="str">
        <f>IF(All_India_Index_Upto_April23__13[[#This Row],[Date]]&lt;DATE(2020, 3, 1),"Pre-COVID","Post-COVID")</f>
        <v>Pre-COVID</v>
      </c>
      <c r="F198">
        <v>135.30000000000001</v>
      </c>
      <c r="G198">
        <v>149.69999999999999</v>
      </c>
      <c r="H198">
        <v>133.9</v>
      </c>
      <c r="I198">
        <v>140.80000000000001</v>
      </c>
      <c r="J198">
        <v>116.6</v>
      </c>
      <c r="K198">
        <v>152.19999999999999</v>
      </c>
      <c r="L198">
        <v>144</v>
      </c>
      <c r="M198">
        <v>112.3</v>
      </c>
      <c r="N198">
        <v>108.4</v>
      </c>
      <c r="O198">
        <v>140</v>
      </c>
      <c r="P198">
        <v>126.7</v>
      </c>
      <c r="Q198">
        <v>149</v>
      </c>
      <c r="R198">
        <v>138.4</v>
      </c>
      <c r="S198">
        <v>161</v>
      </c>
      <c r="T198">
        <v>138.9</v>
      </c>
      <c r="U198">
        <v>128.69999999999999</v>
      </c>
      <c r="V198">
        <v>137.4</v>
      </c>
      <c r="W198" s="3">
        <v>142.5</v>
      </c>
      <c r="X198">
        <v>126.5</v>
      </c>
      <c r="Y198">
        <v>133.1</v>
      </c>
      <c r="Z198">
        <v>132.6</v>
      </c>
      <c r="AA198">
        <v>120.4</v>
      </c>
      <c r="AB198">
        <v>128.5</v>
      </c>
      <c r="AC198">
        <v>141.19999999999999</v>
      </c>
      <c r="AD198">
        <v>128.19999999999999</v>
      </c>
      <c r="AE198">
        <v>129.5</v>
      </c>
      <c r="AF198">
        <v>136.19999999999999</v>
      </c>
      <c r="AG19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199" spans="1:33" x14ac:dyDescent="0.3">
      <c r="A199" t="s">
        <v>33</v>
      </c>
      <c r="B199">
        <v>2017</v>
      </c>
      <c r="C199" t="s">
        <v>43</v>
      </c>
      <c r="D199" s="10">
        <f>DATE(All_India_Index_Upto_April23__13[[#This Row],[Year]],All_India_Index_Upto_April23__13[[#This Row],[Month Number]],1)</f>
        <v>43040</v>
      </c>
      <c r="E199" s="2" t="str">
        <f>IF(All_India_Index_Upto_April23__13[[#This Row],[Date]]&lt;DATE(2020, 3, 1),"Pre-COVID","Post-COVID")</f>
        <v>Pre-COVID</v>
      </c>
      <c r="F199">
        <v>135.69999999999999</v>
      </c>
      <c r="G199">
        <v>142.4</v>
      </c>
      <c r="H199">
        <v>142.9</v>
      </c>
      <c r="I199">
        <v>140.80000000000001</v>
      </c>
      <c r="J199">
        <v>119.2</v>
      </c>
      <c r="K199">
        <v>142.19999999999999</v>
      </c>
      <c r="L199">
        <v>173.8</v>
      </c>
      <c r="M199">
        <v>131.19999999999999</v>
      </c>
      <c r="N199">
        <v>123</v>
      </c>
      <c r="O199">
        <v>136.80000000000001</v>
      </c>
      <c r="P199">
        <v>129.19999999999999</v>
      </c>
      <c r="Q199">
        <v>148.9</v>
      </c>
      <c r="R199">
        <v>142.1</v>
      </c>
      <c r="S199">
        <v>153.19999999999999</v>
      </c>
      <c r="T199">
        <v>143</v>
      </c>
      <c r="U199">
        <v>134.80000000000001</v>
      </c>
      <c r="V199">
        <v>141.80000000000001</v>
      </c>
      <c r="W199" s="3">
        <v>138.6</v>
      </c>
      <c r="X199">
        <v>135.30000000000001</v>
      </c>
      <c r="Y199">
        <v>134.4</v>
      </c>
      <c r="Z199">
        <v>132.6</v>
      </c>
      <c r="AA199">
        <v>118.3</v>
      </c>
      <c r="AB199">
        <v>128.9</v>
      </c>
      <c r="AC199">
        <v>138.6</v>
      </c>
      <c r="AD199">
        <v>126.8</v>
      </c>
      <c r="AE199">
        <v>128.4</v>
      </c>
      <c r="AF199">
        <v>137.6</v>
      </c>
      <c r="AG19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00" spans="1:33" hidden="1" x14ac:dyDescent="0.3">
      <c r="A200" t="s">
        <v>30</v>
      </c>
      <c r="B200">
        <v>2018</v>
      </c>
      <c r="C200" t="s">
        <v>39</v>
      </c>
      <c r="D200" s="10">
        <f>DATE(All_India_Index_Upto_April23__13[[#This Row],[Year]],All_India_Index_Upto_April23__13[[#This Row],[Month Number]],1)</f>
        <v>43282</v>
      </c>
      <c r="E200" s="2" t="str">
        <f>IF(All_India_Index_Upto_April23__13[[#This Row],[Date]]&lt;DATE(2020, 3, 1),"Pre-COVID","Post-COVID")</f>
        <v>Pre-COVID</v>
      </c>
      <c r="F200">
        <v>138.4</v>
      </c>
      <c r="G200">
        <v>149.30000000000001</v>
      </c>
      <c r="H200">
        <v>139.30000000000001</v>
      </c>
      <c r="I200">
        <v>143.4</v>
      </c>
      <c r="J200">
        <v>124.1</v>
      </c>
      <c r="K200">
        <v>153.30000000000001</v>
      </c>
      <c r="L200">
        <v>154.19999999999999</v>
      </c>
      <c r="M200">
        <v>126.4</v>
      </c>
      <c r="N200">
        <v>114.3</v>
      </c>
      <c r="O200">
        <v>138.19999999999999</v>
      </c>
      <c r="P200">
        <v>132.80000000000001</v>
      </c>
      <c r="Q200">
        <v>154.80000000000001</v>
      </c>
      <c r="R200">
        <v>142</v>
      </c>
      <c r="S200">
        <v>156.1</v>
      </c>
      <c r="T200">
        <v>151.5</v>
      </c>
      <c r="U200">
        <v>145.1</v>
      </c>
      <c r="V200">
        <v>150.6</v>
      </c>
      <c r="W200" s="3">
        <v>141</v>
      </c>
      <c r="X200">
        <v>146.80000000000001</v>
      </c>
      <c r="Y200">
        <v>143.1</v>
      </c>
      <c r="Z200">
        <v>139</v>
      </c>
      <c r="AA200">
        <v>127.5</v>
      </c>
      <c r="AB200">
        <v>138.4</v>
      </c>
      <c r="AC200">
        <v>145.80000000000001</v>
      </c>
      <c r="AD200">
        <v>131.4</v>
      </c>
      <c r="AE200">
        <v>136</v>
      </c>
      <c r="AF200">
        <v>141.80000000000001</v>
      </c>
      <c r="AG20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01" spans="1:33" hidden="1" x14ac:dyDescent="0.3">
      <c r="A201" t="s">
        <v>32</v>
      </c>
      <c r="B201">
        <v>2018</v>
      </c>
      <c r="C201" t="s">
        <v>39</v>
      </c>
      <c r="D201" s="10">
        <f>DATE(All_India_Index_Upto_April23__13[[#This Row],[Year]],All_India_Index_Upto_April23__13[[#This Row],[Month Number]],1)</f>
        <v>43282</v>
      </c>
      <c r="E201" s="2" t="str">
        <f>IF(All_India_Index_Upto_April23__13[[#This Row],[Date]]&lt;DATE(2020, 3, 1),"Pre-COVID","Post-COVID")</f>
        <v>Pre-COVID</v>
      </c>
      <c r="F201">
        <v>135.6</v>
      </c>
      <c r="G201">
        <v>148.6</v>
      </c>
      <c r="H201">
        <v>139.1</v>
      </c>
      <c r="I201">
        <v>141</v>
      </c>
      <c r="J201">
        <v>116.7</v>
      </c>
      <c r="K201">
        <v>149.69999999999999</v>
      </c>
      <c r="L201">
        <v>159.19999999999999</v>
      </c>
      <c r="M201">
        <v>112.6</v>
      </c>
      <c r="N201">
        <v>111.8</v>
      </c>
      <c r="O201">
        <v>140.30000000000001</v>
      </c>
      <c r="P201">
        <v>126.8</v>
      </c>
      <c r="Q201">
        <v>149.4</v>
      </c>
      <c r="R201">
        <v>140.30000000000001</v>
      </c>
      <c r="S201">
        <v>161.4</v>
      </c>
      <c r="T201">
        <v>139.6</v>
      </c>
      <c r="U201">
        <v>128.9</v>
      </c>
      <c r="V201">
        <v>137.9</v>
      </c>
      <c r="W201" s="3">
        <v>143.6</v>
      </c>
      <c r="X201">
        <v>128.1</v>
      </c>
      <c r="Y201">
        <v>133.6</v>
      </c>
      <c r="Z201">
        <v>133.6</v>
      </c>
      <c r="AA201">
        <v>120.1</v>
      </c>
      <c r="AB201">
        <v>129</v>
      </c>
      <c r="AC201">
        <v>144</v>
      </c>
      <c r="AD201">
        <v>128.19999999999999</v>
      </c>
      <c r="AE201">
        <v>130.19999999999999</v>
      </c>
      <c r="AF201">
        <v>137.5</v>
      </c>
      <c r="AG20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02" spans="1:33" x14ac:dyDescent="0.3">
      <c r="A202" t="s">
        <v>33</v>
      </c>
      <c r="B202">
        <v>2017</v>
      </c>
      <c r="C202" t="s">
        <v>42</v>
      </c>
      <c r="D202" s="10">
        <f>DATE(All_India_Index_Upto_April23__13[[#This Row],[Year]],All_India_Index_Upto_April23__13[[#This Row],[Month Number]],1)</f>
        <v>43009</v>
      </c>
      <c r="E202" s="2" t="str">
        <f>IF(All_India_Index_Upto_April23__13[[#This Row],[Date]]&lt;DATE(2020, 3, 1),"Pre-COVID","Post-COVID")</f>
        <v>Pre-COVID</v>
      </c>
      <c r="F202">
        <v>135.30000000000001</v>
      </c>
      <c r="G202">
        <v>142.19999999999999</v>
      </c>
      <c r="H202">
        <v>131.19999999999999</v>
      </c>
      <c r="I202">
        <v>140.6</v>
      </c>
      <c r="J202">
        <v>119</v>
      </c>
      <c r="K202">
        <v>141.5</v>
      </c>
      <c r="L202">
        <v>162.6</v>
      </c>
      <c r="M202">
        <v>132.30000000000001</v>
      </c>
      <c r="N202">
        <v>121.8</v>
      </c>
      <c r="O202">
        <v>136.30000000000001</v>
      </c>
      <c r="P202">
        <v>128.69999999999999</v>
      </c>
      <c r="Q202">
        <v>148.1</v>
      </c>
      <c r="R202">
        <v>140.1</v>
      </c>
      <c r="S202">
        <v>151.6</v>
      </c>
      <c r="T202">
        <v>142</v>
      </c>
      <c r="U202">
        <v>134.1</v>
      </c>
      <c r="V202">
        <v>140.80000000000001</v>
      </c>
      <c r="W202" s="3">
        <v>137.30000000000001</v>
      </c>
      <c r="X202">
        <v>132.19999999999999</v>
      </c>
      <c r="Y202">
        <v>133.6</v>
      </c>
      <c r="Z202">
        <v>131.30000000000001</v>
      </c>
      <c r="AA202">
        <v>117.8</v>
      </c>
      <c r="AB202">
        <v>128.4</v>
      </c>
      <c r="AC202">
        <v>137.9</v>
      </c>
      <c r="AD202">
        <v>126.2</v>
      </c>
      <c r="AE202">
        <v>127.7</v>
      </c>
      <c r="AF202">
        <v>136.1</v>
      </c>
      <c r="AG20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03" spans="1:33" hidden="1" x14ac:dyDescent="0.3">
      <c r="A203" t="s">
        <v>30</v>
      </c>
      <c r="B203">
        <v>2018</v>
      </c>
      <c r="C203" t="s">
        <v>40</v>
      </c>
      <c r="D203" s="10">
        <f>DATE(All_India_Index_Upto_April23__13[[#This Row],[Year]],All_India_Index_Upto_April23__13[[#This Row],[Month Number]],1)</f>
        <v>43313</v>
      </c>
      <c r="E203" s="2" t="str">
        <f>IF(All_India_Index_Upto_April23__13[[#This Row],[Date]]&lt;DATE(2020, 3, 1),"Pre-COVID","Post-COVID")</f>
        <v>Pre-COVID</v>
      </c>
      <c r="F203">
        <v>139.19999999999999</v>
      </c>
      <c r="G203">
        <v>148.80000000000001</v>
      </c>
      <c r="H203">
        <v>139.1</v>
      </c>
      <c r="I203">
        <v>143.5</v>
      </c>
      <c r="J203">
        <v>125</v>
      </c>
      <c r="K203">
        <v>154.4</v>
      </c>
      <c r="L203">
        <v>156.30000000000001</v>
      </c>
      <c r="M203">
        <v>126.8</v>
      </c>
      <c r="N203">
        <v>115.4</v>
      </c>
      <c r="O203">
        <v>138.6</v>
      </c>
      <c r="P203">
        <v>133.80000000000001</v>
      </c>
      <c r="Q203">
        <v>155.19999999999999</v>
      </c>
      <c r="R203">
        <v>142.69999999999999</v>
      </c>
      <c r="S203">
        <v>156.4</v>
      </c>
      <c r="T203">
        <v>152.1</v>
      </c>
      <c r="U203">
        <v>145.80000000000001</v>
      </c>
      <c r="V203">
        <v>151.30000000000001</v>
      </c>
      <c r="W203" s="3">
        <v>141</v>
      </c>
      <c r="X203">
        <v>147.69999999999999</v>
      </c>
      <c r="Y203">
        <v>143.80000000000001</v>
      </c>
      <c r="Z203">
        <v>139.4</v>
      </c>
      <c r="AA203">
        <v>128.30000000000001</v>
      </c>
      <c r="AB203">
        <v>138.6</v>
      </c>
      <c r="AC203">
        <v>146.9</v>
      </c>
      <c r="AD203">
        <v>131.30000000000001</v>
      </c>
      <c r="AE203">
        <v>136.6</v>
      </c>
      <c r="AF203">
        <v>142.5</v>
      </c>
      <c r="AG20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04" spans="1:33" hidden="1" x14ac:dyDescent="0.3">
      <c r="A204" t="s">
        <v>32</v>
      </c>
      <c r="B204">
        <v>2018</v>
      </c>
      <c r="C204" t="s">
        <v>40</v>
      </c>
      <c r="D204" s="10">
        <f>DATE(All_India_Index_Upto_April23__13[[#This Row],[Year]],All_India_Index_Upto_April23__13[[#This Row],[Month Number]],1)</f>
        <v>43313</v>
      </c>
      <c r="E204" s="2" t="str">
        <f>IF(All_India_Index_Upto_April23__13[[#This Row],[Date]]&lt;DATE(2020, 3, 1),"Pre-COVID","Post-COVID")</f>
        <v>Pre-COVID</v>
      </c>
      <c r="F204">
        <v>136.5</v>
      </c>
      <c r="G204">
        <v>146.4</v>
      </c>
      <c r="H204">
        <v>136.6</v>
      </c>
      <c r="I204">
        <v>141.19999999999999</v>
      </c>
      <c r="J204">
        <v>117.4</v>
      </c>
      <c r="K204">
        <v>146.30000000000001</v>
      </c>
      <c r="L204">
        <v>157.30000000000001</v>
      </c>
      <c r="M204">
        <v>113.6</v>
      </c>
      <c r="N204">
        <v>113.3</v>
      </c>
      <c r="O204">
        <v>141.1</v>
      </c>
      <c r="P204">
        <v>127.4</v>
      </c>
      <c r="Q204">
        <v>150.4</v>
      </c>
      <c r="R204">
        <v>140.1</v>
      </c>
      <c r="S204">
        <v>162.1</v>
      </c>
      <c r="T204">
        <v>140</v>
      </c>
      <c r="U204">
        <v>129</v>
      </c>
      <c r="V204">
        <v>138.30000000000001</v>
      </c>
      <c r="W204" s="3">
        <v>144.6</v>
      </c>
      <c r="X204">
        <v>129.80000000000001</v>
      </c>
      <c r="Y204">
        <v>134.4</v>
      </c>
      <c r="Z204">
        <v>134.9</v>
      </c>
      <c r="AA204">
        <v>120.7</v>
      </c>
      <c r="AB204">
        <v>129.80000000000001</v>
      </c>
      <c r="AC204">
        <v>145.30000000000001</v>
      </c>
      <c r="AD204">
        <v>128.30000000000001</v>
      </c>
      <c r="AE204">
        <v>131</v>
      </c>
      <c r="AF204">
        <v>138</v>
      </c>
      <c r="AG20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05" spans="1:33" x14ac:dyDescent="0.3">
      <c r="A205" t="s">
        <v>33</v>
      </c>
      <c r="B205">
        <v>2017</v>
      </c>
      <c r="C205" t="s">
        <v>41</v>
      </c>
      <c r="D205" s="10">
        <f>DATE(All_India_Index_Upto_April23__13[[#This Row],[Year]],All_India_Index_Upto_April23__13[[#This Row],[Month Number]],1)</f>
        <v>42979</v>
      </c>
      <c r="E205" s="2" t="str">
        <f>IF(All_India_Index_Upto_April23__13[[#This Row],[Date]]&lt;DATE(2020, 3, 1),"Pre-COVID","Post-COVID")</f>
        <v>Pre-COVID</v>
      </c>
      <c r="F205">
        <v>134.69999999999999</v>
      </c>
      <c r="G205">
        <v>142.4</v>
      </c>
      <c r="H205">
        <v>130.19999999999999</v>
      </c>
      <c r="I205">
        <v>139.6</v>
      </c>
      <c r="J205">
        <v>118.4</v>
      </c>
      <c r="K205">
        <v>143</v>
      </c>
      <c r="L205">
        <v>156.6</v>
      </c>
      <c r="M205">
        <v>132.9</v>
      </c>
      <c r="N205">
        <v>121.5</v>
      </c>
      <c r="O205">
        <v>135.6</v>
      </c>
      <c r="P205">
        <v>128.80000000000001</v>
      </c>
      <c r="Q205">
        <v>147.30000000000001</v>
      </c>
      <c r="R205">
        <v>139</v>
      </c>
      <c r="S205">
        <v>150.80000000000001</v>
      </c>
      <c r="T205">
        <v>141.1</v>
      </c>
      <c r="U205">
        <v>133.4</v>
      </c>
      <c r="V205">
        <v>140</v>
      </c>
      <c r="W205" s="3">
        <v>135.69999999999999</v>
      </c>
      <c r="X205">
        <v>131</v>
      </c>
      <c r="Y205">
        <v>133.30000000000001</v>
      </c>
      <c r="Z205">
        <v>130.6</v>
      </c>
      <c r="AA205">
        <v>118.3</v>
      </c>
      <c r="AB205">
        <v>127.9</v>
      </c>
      <c r="AC205">
        <v>137.4</v>
      </c>
      <c r="AD205">
        <v>125.7</v>
      </c>
      <c r="AE205">
        <v>127.5</v>
      </c>
      <c r="AF205">
        <v>135.19999999999999</v>
      </c>
      <c r="AG20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06" spans="1:33" hidden="1" x14ac:dyDescent="0.3">
      <c r="A206" t="s">
        <v>30</v>
      </c>
      <c r="B206">
        <v>2018</v>
      </c>
      <c r="C206" t="s">
        <v>41</v>
      </c>
      <c r="D206" s="10">
        <f>DATE(All_India_Index_Upto_April23__13[[#This Row],[Year]],All_India_Index_Upto_April23__13[[#This Row],[Month Number]],1)</f>
        <v>43344</v>
      </c>
      <c r="E206" s="2" t="str">
        <f>IF(All_India_Index_Upto_April23__13[[#This Row],[Date]]&lt;DATE(2020, 3, 1),"Pre-COVID","Post-COVID")</f>
        <v>Pre-COVID</v>
      </c>
      <c r="F206">
        <v>139.4</v>
      </c>
      <c r="G206">
        <v>147.19999999999999</v>
      </c>
      <c r="H206">
        <v>136.6</v>
      </c>
      <c r="I206">
        <v>143.69999999999999</v>
      </c>
      <c r="J206">
        <v>124.6</v>
      </c>
      <c r="K206">
        <v>150.1</v>
      </c>
      <c r="L206">
        <v>149.4</v>
      </c>
      <c r="M206">
        <v>125.4</v>
      </c>
      <c r="N206">
        <v>114.4</v>
      </c>
      <c r="O206">
        <v>138.69999999999999</v>
      </c>
      <c r="P206">
        <v>133.1</v>
      </c>
      <c r="Q206">
        <v>155.9</v>
      </c>
      <c r="R206">
        <v>141.30000000000001</v>
      </c>
      <c r="S206">
        <v>157.69999999999999</v>
      </c>
      <c r="T206">
        <v>152.1</v>
      </c>
      <c r="U206">
        <v>146.1</v>
      </c>
      <c r="V206">
        <v>151.30000000000001</v>
      </c>
      <c r="W206" s="3">
        <v>141</v>
      </c>
      <c r="X206">
        <v>149</v>
      </c>
      <c r="Y206">
        <v>144</v>
      </c>
      <c r="Z206">
        <v>140</v>
      </c>
      <c r="AA206">
        <v>129.9</v>
      </c>
      <c r="AB206">
        <v>140</v>
      </c>
      <c r="AC206">
        <v>147.6</v>
      </c>
      <c r="AD206">
        <v>132</v>
      </c>
      <c r="AE206">
        <v>137.4</v>
      </c>
      <c r="AF206">
        <v>142.1</v>
      </c>
      <c r="AG20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07" spans="1:33" hidden="1" x14ac:dyDescent="0.3">
      <c r="A207" t="s">
        <v>32</v>
      </c>
      <c r="B207">
        <v>2018</v>
      </c>
      <c r="C207" t="s">
        <v>41</v>
      </c>
      <c r="D207" s="10">
        <f>DATE(All_India_Index_Upto_April23__13[[#This Row],[Year]],All_India_Index_Upto_April23__13[[#This Row],[Month Number]],1)</f>
        <v>43344</v>
      </c>
      <c r="E207" s="2" t="str">
        <f>IF(All_India_Index_Upto_April23__13[[#This Row],[Date]]&lt;DATE(2020, 3, 1),"Pre-COVID","Post-COVID")</f>
        <v>Pre-COVID</v>
      </c>
      <c r="F207">
        <v>137</v>
      </c>
      <c r="G207">
        <v>143.1</v>
      </c>
      <c r="H207">
        <v>132.80000000000001</v>
      </c>
      <c r="I207">
        <v>141.5</v>
      </c>
      <c r="J207">
        <v>117.8</v>
      </c>
      <c r="K207">
        <v>140</v>
      </c>
      <c r="L207">
        <v>151.30000000000001</v>
      </c>
      <c r="M207">
        <v>113.5</v>
      </c>
      <c r="N207">
        <v>112.3</v>
      </c>
      <c r="O207">
        <v>141.19999999999999</v>
      </c>
      <c r="P207">
        <v>127.7</v>
      </c>
      <c r="Q207">
        <v>151.30000000000001</v>
      </c>
      <c r="R207">
        <v>138.9</v>
      </c>
      <c r="S207">
        <v>163.30000000000001</v>
      </c>
      <c r="T207">
        <v>140.80000000000001</v>
      </c>
      <c r="U207">
        <v>129.30000000000001</v>
      </c>
      <c r="V207">
        <v>139.1</v>
      </c>
      <c r="W207" s="3">
        <v>145.30000000000001</v>
      </c>
      <c r="X207">
        <v>131.19999999999999</v>
      </c>
      <c r="Y207">
        <v>134.9</v>
      </c>
      <c r="Z207">
        <v>135.69999999999999</v>
      </c>
      <c r="AA207">
        <v>122.5</v>
      </c>
      <c r="AB207">
        <v>130.19999999999999</v>
      </c>
      <c r="AC207">
        <v>145.19999999999999</v>
      </c>
      <c r="AD207">
        <v>129.30000000000001</v>
      </c>
      <c r="AE207">
        <v>131.9</v>
      </c>
      <c r="AF207">
        <v>138.1</v>
      </c>
      <c r="AG20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08" spans="1:33" x14ac:dyDescent="0.3">
      <c r="A208" t="s">
        <v>33</v>
      </c>
      <c r="B208">
        <v>2017</v>
      </c>
      <c r="C208" t="s">
        <v>40</v>
      </c>
      <c r="D208" s="10">
        <f>DATE(All_India_Index_Upto_April23__13[[#This Row],[Year]],All_India_Index_Upto_April23__13[[#This Row],[Month Number]],1)</f>
        <v>42948</v>
      </c>
      <c r="E208" s="2" t="str">
        <f>IF(All_India_Index_Upto_April23__13[[#This Row],[Date]]&lt;DATE(2020, 3, 1),"Pre-COVID","Post-COVID")</f>
        <v>Pre-COVID</v>
      </c>
      <c r="F208">
        <v>134.30000000000001</v>
      </c>
      <c r="G208">
        <v>143.4</v>
      </c>
      <c r="H208">
        <v>129.30000000000001</v>
      </c>
      <c r="I208">
        <v>139</v>
      </c>
      <c r="J208">
        <v>118.1</v>
      </c>
      <c r="K208">
        <v>145.5</v>
      </c>
      <c r="L208">
        <v>168.6</v>
      </c>
      <c r="M208">
        <v>132.69999999999999</v>
      </c>
      <c r="N208">
        <v>121.2</v>
      </c>
      <c r="O208">
        <v>135.6</v>
      </c>
      <c r="P208">
        <v>128.69999999999999</v>
      </c>
      <c r="Q208">
        <v>146.80000000000001</v>
      </c>
      <c r="R208">
        <v>140.6</v>
      </c>
      <c r="S208">
        <v>149.80000000000001</v>
      </c>
      <c r="T208">
        <v>140.30000000000001</v>
      </c>
      <c r="U208">
        <v>133</v>
      </c>
      <c r="V208">
        <v>139.30000000000001</v>
      </c>
      <c r="W208" s="3">
        <v>134.4</v>
      </c>
      <c r="X208">
        <v>129.80000000000001</v>
      </c>
      <c r="Y208">
        <v>132.80000000000001</v>
      </c>
      <c r="Z208">
        <v>130.19999999999999</v>
      </c>
      <c r="AA208">
        <v>117.3</v>
      </c>
      <c r="AB208">
        <v>127.3</v>
      </c>
      <c r="AC208">
        <v>137.6</v>
      </c>
      <c r="AD208">
        <v>124.5</v>
      </c>
      <c r="AE208">
        <v>126.8</v>
      </c>
      <c r="AF208">
        <v>135.4</v>
      </c>
      <c r="AG20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09" spans="1:33" hidden="1" x14ac:dyDescent="0.3">
      <c r="A209" t="s">
        <v>30</v>
      </c>
      <c r="B209">
        <v>2018</v>
      </c>
      <c r="C209" t="s">
        <v>42</v>
      </c>
      <c r="D209" s="10">
        <f>DATE(All_India_Index_Upto_April23__13[[#This Row],[Year]],All_India_Index_Upto_April23__13[[#This Row],[Month Number]],1)</f>
        <v>43374</v>
      </c>
      <c r="E209" s="2" t="str">
        <f>IF(All_India_Index_Upto_April23__13[[#This Row],[Date]]&lt;DATE(2020, 3, 1),"Pre-COVID","Post-COVID")</f>
        <v>Pre-COVID</v>
      </c>
      <c r="F209">
        <v>139.30000000000001</v>
      </c>
      <c r="G209">
        <v>147.6</v>
      </c>
      <c r="H209">
        <v>134.6</v>
      </c>
      <c r="I209">
        <v>141.9</v>
      </c>
      <c r="J209">
        <v>123.5</v>
      </c>
      <c r="K209">
        <v>144.5</v>
      </c>
      <c r="L209">
        <v>147.6</v>
      </c>
      <c r="M209">
        <v>121.4</v>
      </c>
      <c r="N209">
        <v>112.3</v>
      </c>
      <c r="O209">
        <v>139.5</v>
      </c>
      <c r="P209">
        <v>134.6</v>
      </c>
      <c r="Q209">
        <v>155.19999999999999</v>
      </c>
      <c r="R209">
        <v>140.19999999999999</v>
      </c>
      <c r="S209">
        <v>159.6</v>
      </c>
      <c r="T209">
        <v>150.69999999999999</v>
      </c>
      <c r="U209">
        <v>144.5</v>
      </c>
      <c r="V209">
        <v>149.80000000000001</v>
      </c>
      <c r="W209" s="3">
        <v>141</v>
      </c>
      <c r="X209">
        <v>149.69999999999999</v>
      </c>
      <c r="Y209">
        <v>147.5</v>
      </c>
      <c r="Z209">
        <v>144.80000000000001</v>
      </c>
      <c r="AA209">
        <v>130.80000000000001</v>
      </c>
      <c r="AB209">
        <v>140.1</v>
      </c>
      <c r="AC209">
        <v>148</v>
      </c>
      <c r="AD209">
        <v>134.4</v>
      </c>
      <c r="AE209">
        <v>139.80000000000001</v>
      </c>
      <c r="AF209">
        <v>142.19999999999999</v>
      </c>
      <c r="AG20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10" spans="1:33" hidden="1" x14ac:dyDescent="0.3">
      <c r="A210" t="s">
        <v>32</v>
      </c>
      <c r="B210">
        <v>2018</v>
      </c>
      <c r="C210" t="s">
        <v>42</v>
      </c>
      <c r="D210" s="10">
        <f>DATE(All_India_Index_Upto_April23__13[[#This Row],[Year]],All_India_Index_Upto_April23__13[[#This Row],[Month Number]],1)</f>
        <v>43374</v>
      </c>
      <c r="E210" s="2" t="str">
        <f>IF(All_India_Index_Upto_April23__13[[#This Row],[Date]]&lt;DATE(2020, 3, 1),"Pre-COVID","Post-COVID")</f>
        <v>Pre-COVID</v>
      </c>
      <c r="F210">
        <v>137.6</v>
      </c>
      <c r="G210">
        <v>144.9</v>
      </c>
      <c r="H210">
        <v>133.5</v>
      </c>
      <c r="I210">
        <v>141.5</v>
      </c>
      <c r="J210">
        <v>118</v>
      </c>
      <c r="K210">
        <v>139.5</v>
      </c>
      <c r="L210">
        <v>153</v>
      </c>
      <c r="M210">
        <v>113.2</v>
      </c>
      <c r="N210">
        <v>112.8</v>
      </c>
      <c r="O210">
        <v>141.1</v>
      </c>
      <c r="P210">
        <v>127.6</v>
      </c>
      <c r="Q210">
        <v>152</v>
      </c>
      <c r="R210">
        <v>139.4</v>
      </c>
      <c r="S210">
        <v>164</v>
      </c>
      <c r="T210">
        <v>141.5</v>
      </c>
      <c r="U210">
        <v>129.80000000000001</v>
      </c>
      <c r="V210">
        <v>139.69999999999999</v>
      </c>
      <c r="W210" s="3">
        <v>146.30000000000001</v>
      </c>
      <c r="X210">
        <v>133.4</v>
      </c>
      <c r="Y210">
        <v>135.1</v>
      </c>
      <c r="Z210">
        <v>136.19999999999999</v>
      </c>
      <c r="AA210">
        <v>123.3</v>
      </c>
      <c r="AB210">
        <v>130.69999999999999</v>
      </c>
      <c r="AC210">
        <v>145.5</v>
      </c>
      <c r="AD210">
        <v>130.4</v>
      </c>
      <c r="AE210">
        <v>132.5</v>
      </c>
      <c r="AF210">
        <v>138.9</v>
      </c>
      <c r="AG21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11" spans="1:33" x14ac:dyDescent="0.3">
      <c r="A211" t="s">
        <v>33</v>
      </c>
      <c r="B211">
        <v>2017</v>
      </c>
      <c r="C211" t="s">
        <v>39</v>
      </c>
      <c r="D211" s="10">
        <f>DATE(All_India_Index_Upto_April23__13[[#This Row],[Year]],All_India_Index_Upto_April23__13[[#This Row],[Month Number]],1)</f>
        <v>42917</v>
      </c>
      <c r="E211" s="2" t="str">
        <f>IF(All_India_Index_Upto_April23__13[[#This Row],[Date]]&lt;DATE(2020, 3, 1),"Pre-COVID","Post-COVID")</f>
        <v>Pre-COVID</v>
      </c>
      <c r="F211">
        <v>133.6</v>
      </c>
      <c r="G211">
        <v>145.69999999999999</v>
      </c>
      <c r="H211">
        <v>129.6</v>
      </c>
      <c r="I211">
        <v>138.5</v>
      </c>
      <c r="J211">
        <v>118.1</v>
      </c>
      <c r="K211">
        <v>141.80000000000001</v>
      </c>
      <c r="L211">
        <v>159.5</v>
      </c>
      <c r="M211">
        <v>133.6</v>
      </c>
      <c r="N211">
        <v>120.5</v>
      </c>
      <c r="O211">
        <v>135.19999999999999</v>
      </c>
      <c r="P211">
        <v>128.5</v>
      </c>
      <c r="Q211">
        <v>145.80000000000001</v>
      </c>
      <c r="R211">
        <v>139</v>
      </c>
      <c r="S211">
        <v>148.19999999999999</v>
      </c>
      <c r="T211">
        <v>139.30000000000001</v>
      </c>
      <c r="U211">
        <v>132.1</v>
      </c>
      <c r="V211">
        <v>138.30000000000001</v>
      </c>
      <c r="W211" s="3">
        <v>132.6</v>
      </c>
      <c r="X211">
        <v>129.4</v>
      </c>
      <c r="Y211">
        <v>131.9</v>
      </c>
      <c r="Z211">
        <v>129.4</v>
      </c>
      <c r="AA211">
        <v>116</v>
      </c>
      <c r="AB211">
        <v>126.6</v>
      </c>
      <c r="AC211">
        <v>136.80000000000001</v>
      </c>
      <c r="AD211">
        <v>123.6</v>
      </c>
      <c r="AE211">
        <v>125.9</v>
      </c>
      <c r="AF211">
        <v>134.19999999999999</v>
      </c>
      <c r="AG21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12" spans="1:33" hidden="1" x14ac:dyDescent="0.3">
      <c r="A212" t="s">
        <v>30</v>
      </c>
      <c r="B212">
        <v>2018</v>
      </c>
      <c r="C212" t="s">
        <v>43</v>
      </c>
      <c r="D212" s="10">
        <f>DATE(All_India_Index_Upto_April23__13[[#This Row],[Year]],All_India_Index_Upto_April23__13[[#This Row],[Month Number]],1)</f>
        <v>43405</v>
      </c>
      <c r="E212" s="2" t="str">
        <f>IF(All_India_Index_Upto_April23__13[[#This Row],[Date]]&lt;DATE(2020, 3, 1),"Pre-COVID","Post-COVID")</f>
        <v>Pre-COVID</v>
      </c>
      <c r="F212">
        <v>137.1</v>
      </c>
      <c r="G212">
        <v>150.80000000000001</v>
      </c>
      <c r="H212">
        <v>136.69999999999999</v>
      </c>
      <c r="I212">
        <v>141.9</v>
      </c>
      <c r="J212">
        <v>122.8</v>
      </c>
      <c r="K212">
        <v>143.9</v>
      </c>
      <c r="L212">
        <v>147.5</v>
      </c>
      <c r="M212">
        <v>121</v>
      </c>
      <c r="N212">
        <v>111.6</v>
      </c>
      <c r="O212">
        <v>140.6</v>
      </c>
      <c r="P212">
        <v>137.5</v>
      </c>
      <c r="Q212">
        <v>156.1</v>
      </c>
      <c r="R212">
        <v>140</v>
      </c>
      <c r="S212">
        <v>161.9</v>
      </c>
      <c r="T212">
        <v>151.69999999999999</v>
      </c>
      <c r="U212">
        <v>145.5</v>
      </c>
      <c r="V212">
        <v>150.80000000000001</v>
      </c>
      <c r="W212" s="3">
        <v>141</v>
      </c>
      <c r="X212">
        <v>150.30000000000001</v>
      </c>
      <c r="Y212">
        <v>148</v>
      </c>
      <c r="Z212">
        <v>145.4</v>
      </c>
      <c r="AA212">
        <v>130.30000000000001</v>
      </c>
      <c r="AB212">
        <v>143.1</v>
      </c>
      <c r="AC212">
        <v>150.19999999999999</v>
      </c>
      <c r="AD212">
        <v>133.1</v>
      </c>
      <c r="AE212">
        <v>140.1</v>
      </c>
      <c r="AF212">
        <v>142.4</v>
      </c>
      <c r="AG21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13" spans="1:33" hidden="1" x14ac:dyDescent="0.3">
      <c r="A213" t="s">
        <v>32</v>
      </c>
      <c r="B213">
        <v>2018</v>
      </c>
      <c r="C213" t="s">
        <v>43</v>
      </c>
      <c r="D213" s="10">
        <f>DATE(All_India_Index_Upto_April23__13[[#This Row],[Year]],All_India_Index_Upto_April23__13[[#This Row],[Month Number]],1)</f>
        <v>43405</v>
      </c>
      <c r="E213" s="2" t="str">
        <f>IF(All_India_Index_Upto_April23__13[[#This Row],[Date]]&lt;DATE(2020, 3, 1),"Pre-COVID","Post-COVID")</f>
        <v>Pre-COVID</v>
      </c>
      <c r="F213">
        <v>138.1</v>
      </c>
      <c r="G213">
        <v>146.30000000000001</v>
      </c>
      <c r="H213">
        <v>137.80000000000001</v>
      </c>
      <c r="I213">
        <v>141.6</v>
      </c>
      <c r="J213">
        <v>118.1</v>
      </c>
      <c r="K213">
        <v>141.5</v>
      </c>
      <c r="L213">
        <v>145.19999999999999</v>
      </c>
      <c r="M213">
        <v>115.3</v>
      </c>
      <c r="N213">
        <v>112.5</v>
      </c>
      <c r="O213">
        <v>141.4</v>
      </c>
      <c r="P213">
        <v>128</v>
      </c>
      <c r="Q213">
        <v>152.6</v>
      </c>
      <c r="R213">
        <v>139.1</v>
      </c>
      <c r="S213">
        <v>164.4</v>
      </c>
      <c r="T213">
        <v>142.4</v>
      </c>
      <c r="U213">
        <v>130.19999999999999</v>
      </c>
      <c r="V213">
        <v>140.5</v>
      </c>
      <c r="W213" s="3">
        <v>146.9</v>
      </c>
      <c r="X213">
        <v>136.69999999999999</v>
      </c>
      <c r="Y213">
        <v>135.80000000000001</v>
      </c>
      <c r="Z213">
        <v>136.80000000000001</v>
      </c>
      <c r="AA213">
        <v>121.2</v>
      </c>
      <c r="AB213">
        <v>131.30000000000001</v>
      </c>
      <c r="AC213">
        <v>146.1</v>
      </c>
      <c r="AD213">
        <v>130.5</v>
      </c>
      <c r="AE213">
        <v>132.19999999999999</v>
      </c>
      <c r="AF213">
        <v>139</v>
      </c>
      <c r="AG21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14" spans="1:33" x14ac:dyDescent="0.3">
      <c r="A214" t="s">
        <v>33</v>
      </c>
      <c r="B214">
        <v>2017</v>
      </c>
      <c r="C214" t="s">
        <v>38</v>
      </c>
      <c r="D214" s="10">
        <f>DATE(All_India_Index_Upto_April23__13[[#This Row],[Year]],All_India_Index_Upto_April23__13[[#This Row],[Month Number]],1)</f>
        <v>42887</v>
      </c>
      <c r="E214" s="2" t="str">
        <f>IF(All_India_Index_Upto_April23__13[[#This Row],[Date]]&lt;DATE(2020, 3, 1),"Pre-COVID","Post-COVID")</f>
        <v>Pre-COVID</v>
      </c>
      <c r="F214">
        <v>133.30000000000001</v>
      </c>
      <c r="G214">
        <v>145.5</v>
      </c>
      <c r="H214">
        <v>128.1</v>
      </c>
      <c r="I214">
        <v>138.1</v>
      </c>
      <c r="J214">
        <v>118.2</v>
      </c>
      <c r="K214">
        <v>139.19999999999999</v>
      </c>
      <c r="L214">
        <v>133.30000000000001</v>
      </c>
      <c r="M214">
        <v>136.19999999999999</v>
      </c>
      <c r="N214">
        <v>119.6</v>
      </c>
      <c r="O214">
        <v>135.30000000000001</v>
      </c>
      <c r="P214">
        <v>127.8</v>
      </c>
      <c r="Q214">
        <v>144.9</v>
      </c>
      <c r="R214">
        <v>135.19999999999999</v>
      </c>
      <c r="S214">
        <v>146.5</v>
      </c>
      <c r="T214">
        <v>138.5</v>
      </c>
      <c r="U214">
        <v>131.69999999999999</v>
      </c>
      <c r="V214">
        <v>137.5</v>
      </c>
      <c r="W214" s="3">
        <v>131.4</v>
      </c>
      <c r="X214">
        <v>128.80000000000001</v>
      </c>
      <c r="Y214">
        <v>131.19999999999999</v>
      </c>
      <c r="Z214">
        <v>128.5</v>
      </c>
      <c r="AA214">
        <v>116.5</v>
      </c>
      <c r="AB214">
        <v>125.9</v>
      </c>
      <c r="AC214">
        <v>135.4</v>
      </c>
      <c r="AD214">
        <v>123.4</v>
      </c>
      <c r="AE214">
        <v>125.5</v>
      </c>
      <c r="AF214">
        <v>132</v>
      </c>
      <c r="AG21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15" spans="1:33" hidden="1" x14ac:dyDescent="0.3">
      <c r="A215" t="s">
        <v>30</v>
      </c>
      <c r="B215">
        <v>2018</v>
      </c>
      <c r="C215" t="s">
        <v>44</v>
      </c>
      <c r="D215" s="10">
        <f>DATE(All_India_Index_Upto_April23__13[[#This Row],[Year]],All_India_Index_Upto_April23__13[[#This Row],[Month Number]],1)</f>
        <v>43435</v>
      </c>
      <c r="E215" s="2" t="str">
        <f>IF(All_India_Index_Upto_April23__13[[#This Row],[Date]]&lt;DATE(2020, 3, 1),"Pre-COVID","Post-COVID")</f>
        <v>Pre-COVID</v>
      </c>
      <c r="F215">
        <v>137.1</v>
      </c>
      <c r="G215">
        <v>151.9</v>
      </c>
      <c r="H215">
        <v>137.4</v>
      </c>
      <c r="I215">
        <v>142.4</v>
      </c>
      <c r="J215">
        <v>124.2</v>
      </c>
      <c r="K215">
        <v>140.19999999999999</v>
      </c>
      <c r="L215">
        <v>136.6</v>
      </c>
      <c r="M215">
        <v>120.9</v>
      </c>
      <c r="N215">
        <v>109.9</v>
      </c>
      <c r="O215">
        <v>140.19999999999999</v>
      </c>
      <c r="P215">
        <v>137.80000000000001</v>
      </c>
      <c r="Q215">
        <v>156</v>
      </c>
      <c r="R215">
        <v>138.5</v>
      </c>
      <c r="S215">
        <v>162.4</v>
      </c>
      <c r="T215">
        <v>151.6</v>
      </c>
      <c r="U215">
        <v>145.9</v>
      </c>
      <c r="V215">
        <v>150.80000000000001</v>
      </c>
      <c r="W215" s="3">
        <v>141</v>
      </c>
      <c r="X215">
        <v>149</v>
      </c>
      <c r="Y215">
        <v>149.5</v>
      </c>
      <c r="Z215">
        <v>149.6</v>
      </c>
      <c r="AA215">
        <v>128.9</v>
      </c>
      <c r="AB215">
        <v>143.30000000000001</v>
      </c>
      <c r="AC215">
        <v>155.1</v>
      </c>
      <c r="AD215">
        <v>133.19999999999999</v>
      </c>
      <c r="AE215">
        <v>141.6</v>
      </c>
      <c r="AF215">
        <v>141.9</v>
      </c>
      <c r="AG21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16" spans="1:33" hidden="1" x14ac:dyDescent="0.3">
      <c r="A216" t="s">
        <v>32</v>
      </c>
      <c r="B216">
        <v>2018</v>
      </c>
      <c r="C216" t="s">
        <v>44</v>
      </c>
      <c r="D216" s="10">
        <f>DATE(All_India_Index_Upto_April23__13[[#This Row],[Year]],All_India_Index_Upto_April23__13[[#This Row],[Month Number]],1)</f>
        <v>43435</v>
      </c>
      <c r="E216" s="2" t="str">
        <f>IF(All_India_Index_Upto_April23__13[[#This Row],[Date]]&lt;DATE(2020, 3, 1),"Pre-COVID","Post-COVID")</f>
        <v>Pre-COVID</v>
      </c>
      <c r="F216">
        <v>138.5</v>
      </c>
      <c r="G216">
        <v>147.80000000000001</v>
      </c>
      <c r="H216">
        <v>141.1</v>
      </c>
      <c r="I216">
        <v>141.6</v>
      </c>
      <c r="J216">
        <v>118.1</v>
      </c>
      <c r="K216">
        <v>138.5</v>
      </c>
      <c r="L216">
        <v>132.4</v>
      </c>
      <c r="M216">
        <v>117.5</v>
      </c>
      <c r="N216">
        <v>111</v>
      </c>
      <c r="O216">
        <v>141.5</v>
      </c>
      <c r="P216">
        <v>128.1</v>
      </c>
      <c r="Q216">
        <v>152.9</v>
      </c>
      <c r="R216">
        <v>137.6</v>
      </c>
      <c r="S216">
        <v>164.6</v>
      </c>
      <c r="T216">
        <v>142.69999999999999</v>
      </c>
      <c r="U216">
        <v>130.30000000000001</v>
      </c>
      <c r="V216">
        <v>140.80000000000001</v>
      </c>
      <c r="W216" s="3">
        <v>146.5</v>
      </c>
      <c r="X216">
        <v>132.4</v>
      </c>
      <c r="Y216">
        <v>136.19999999999999</v>
      </c>
      <c r="Z216">
        <v>137.30000000000001</v>
      </c>
      <c r="AA216">
        <v>118.8</v>
      </c>
      <c r="AB216">
        <v>131.69999999999999</v>
      </c>
      <c r="AC216">
        <v>146.5</v>
      </c>
      <c r="AD216">
        <v>130.80000000000001</v>
      </c>
      <c r="AE216">
        <v>131.69999999999999</v>
      </c>
      <c r="AF216">
        <v>138</v>
      </c>
      <c r="AG21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17" spans="1:33" x14ac:dyDescent="0.3">
      <c r="A217" t="s">
        <v>33</v>
      </c>
      <c r="B217">
        <v>2017</v>
      </c>
      <c r="C217" t="s">
        <v>37</v>
      </c>
      <c r="D217" s="10">
        <f>DATE(All_India_Index_Upto_April23__13[[#This Row],[Year]],All_India_Index_Upto_April23__13[[#This Row],[Month Number]],1)</f>
        <v>42856</v>
      </c>
      <c r="E217" s="2" t="str">
        <f>IF(All_India_Index_Upto_April23__13[[#This Row],[Date]]&lt;DATE(2020, 3, 1),"Pre-COVID","Post-COVID")</f>
        <v>Pre-COVID</v>
      </c>
      <c r="F217">
        <v>132.9</v>
      </c>
      <c r="G217">
        <v>141.6</v>
      </c>
      <c r="H217">
        <v>126.3</v>
      </c>
      <c r="I217">
        <v>137.69999999999999</v>
      </c>
      <c r="J217">
        <v>118.1</v>
      </c>
      <c r="K217">
        <v>137.9</v>
      </c>
      <c r="L217">
        <v>125.6</v>
      </c>
      <c r="M217">
        <v>138.30000000000001</v>
      </c>
      <c r="N217">
        <v>119.4</v>
      </c>
      <c r="O217">
        <v>136</v>
      </c>
      <c r="P217">
        <v>127.6</v>
      </c>
      <c r="Q217">
        <v>144.5</v>
      </c>
      <c r="R217">
        <v>133.69999999999999</v>
      </c>
      <c r="S217">
        <v>146.19999999999999</v>
      </c>
      <c r="T217">
        <v>138.19999999999999</v>
      </c>
      <c r="U217">
        <v>131.4</v>
      </c>
      <c r="V217">
        <v>137.19999999999999</v>
      </c>
      <c r="W217" s="3">
        <v>132.1</v>
      </c>
      <c r="X217">
        <v>129.4</v>
      </c>
      <c r="Y217">
        <v>130.9</v>
      </c>
      <c r="Z217">
        <v>128.4</v>
      </c>
      <c r="AA217">
        <v>116.7</v>
      </c>
      <c r="AB217">
        <v>125.7</v>
      </c>
      <c r="AC217">
        <v>134.80000000000001</v>
      </c>
      <c r="AD217">
        <v>123</v>
      </c>
      <c r="AE217">
        <v>125.3</v>
      </c>
      <c r="AF217">
        <v>131.4</v>
      </c>
      <c r="AG21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18" spans="1:33" hidden="1" x14ac:dyDescent="0.3">
      <c r="A218" t="s">
        <v>30</v>
      </c>
      <c r="B218">
        <v>2019</v>
      </c>
      <c r="C218" t="s">
        <v>31</v>
      </c>
      <c r="D218" s="10">
        <f>DATE(All_India_Index_Upto_April23__13[[#This Row],[Year]],All_India_Index_Upto_April23__13[[#This Row],[Month Number]],1)</f>
        <v>43466</v>
      </c>
      <c r="E218" s="2" t="str">
        <f>IF(All_India_Index_Upto_April23__13[[#This Row],[Date]]&lt;DATE(2020, 3, 1),"Pre-COVID","Post-COVID")</f>
        <v>Pre-COVID</v>
      </c>
      <c r="F218">
        <v>136.6</v>
      </c>
      <c r="G218">
        <v>152.5</v>
      </c>
      <c r="H218">
        <v>138.19999999999999</v>
      </c>
      <c r="I218">
        <v>142.4</v>
      </c>
      <c r="J218">
        <v>123.9</v>
      </c>
      <c r="K218">
        <v>135.5</v>
      </c>
      <c r="L218">
        <v>131.69999999999999</v>
      </c>
      <c r="M218">
        <v>121.3</v>
      </c>
      <c r="N218">
        <v>108.4</v>
      </c>
      <c r="O218">
        <v>138.9</v>
      </c>
      <c r="P218">
        <v>137</v>
      </c>
      <c r="Q218">
        <v>155.80000000000001</v>
      </c>
      <c r="R218">
        <v>137.4</v>
      </c>
      <c r="S218">
        <v>162.69999999999999</v>
      </c>
      <c r="T218">
        <v>150.6</v>
      </c>
      <c r="U218">
        <v>145.1</v>
      </c>
      <c r="V218">
        <v>149.9</v>
      </c>
      <c r="W218" s="3">
        <v>141</v>
      </c>
      <c r="X218">
        <v>146.19999999999999</v>
      </c>
      <c r="Y218">
        <v>150.1</v>
      </c>
      <c r="Z218">
        <v>149.6</v>
      </c>
      <c r="AA218">
        <v>128.6</v>
      </c>
      <c r="AB218">
        <v>142.9</v>
      </c>
      <c r="AC218">
        <v>155.19999999999999</v>
      </c>
      <c r="AD218">
        <v>133.5</v>
      </c>
      <c r="AE218">
        <v>141.69999999999999</v>
      </c>
      <c r="AF218">
        <v>141</v>
      </c>
      <c r="AG21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19" spans="1:33" hidden="1" x14ac:dyDescent="0.3">
      <c r="A219" t="s">
        <v>32</v>
      </c>
      <c r="B219">
        <v>2019</v>
      </c>
      <c r="C219" t="s">
        <v>31</v>
      </c>
      <c r="D219" s="10">
        <f>DATE(All_India_Index_Upto_April23__13[[#This Row],[Year]],All_India_Index_Upto_April23__13[[#This Row],[Month Number]],1)</f>
        <v>43466</v>
      </c>
      <c r="E219" s="2" t="str">
        <f>IF(All_India_Index_Upto_April23__13[[#This Row],[Date]]&lt;DATE(2020, 3, 1),"Pre-COVID","Post-COVID")</f>
        <v>Pre-COVID</v>
      </c>
      <c r="F219">
        <v>138.30000000000001</v>
      </c>
      <c r="G219">
        <v>149.4</v>
      </c>
      <c r="H219">
        <v>143.5</v>
      </c>
      <c r="I219">
        <v>141.69999999999999</v>
      </c>
      <c r="J219">
        <v>118.1</v>
      </c>
      <c r="K219">
        <v>135.19999999999999</v>
      </c>
      <c r="L219">
        <v>130.5</v>
      </c>
      <c r="M219">
        <v>118.2</v>
      </c>
      <c r="N219">
        <v>110.4</v>
      </c>
      <c r="O219">
        <v>140.4</v>
      </c>
      <c r="P219">
        <v>128.1</v>
      </c>
      <c r="Q219">
        <v>153.19999999999999</v>
      </c>
      <c r="R219">
        <v>137.30000000000001</v>
      </c>
      <c r="S219">
        <v>164.7</v>
      </c>
      <c r="T219">
        <v>143</v>
      </c>
      <c r="U219">
        <v>130.4</v>
      </c>
      <c r="V219">
        <v>141.1</v>
      </c>
      <c r="W219" s="3">
        <v>147.69999999999999</v>
      </c>
      <c r="X219">
        <v>128.6</v>
      </c>
      <c r="Y219">
        <v>136.30000000000001</v>
      </c>
      <c r="Z219">
        <v>137.80000000000001</v>
      </c>
      <c r="AA219">
        <v>118.6</v>
      </c>
      <c r="AB219">
        <v>131.9</v>
      </c>
      <c r="AC219">
        <v>146.6</v>
      </c>
      <c r="AD219">
        <v>131.69999999999999</v>
      </c>
      <c r="AE219">
        <v>131.80000000000001</v>
      </c>
      <c r="AF219">
        <v>138</v>
      </c>
      <c r="AG21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20" spans="1:33" x14ac:dyDescent="0.3">
      <c r="A220" t="s">
        <v>33</v>
      </c>
      <c r="B220">
        <v>2017</v>
      </c>
      <c r="C220" t="s">
        <v>36</v>
      </c>
      <c r="D220" s="10">
        <f>DATE(All_India_Index_Upto_April23__13[[#This Row],[Year]],All_India_Index_Upto_April23__13[[#This Row],[Month Number]],1)</f>
        <v>42826</v>
      </c>
      <c r="E220" s="2" t="str">
        <f>IF(All_India_Index_Upto_April23__13[[#This Row],[Date]]&lt;DATE(2020, 3, 1),"Pre-COVID","Post-COVID")</f>
        <v>Pre-COVID</v>
      </c>
      <c r="F220">
        <v>133</v>
      </c>
      <c r="G220">
        <v>139.4</v>
      </c>
      <c r="H220">
        <v>126.1</v>
      </c>
      <c r="I220">
        <v>137.19999999999999</v>
      </c>
      <c r="J220">
        <v>118.4</v>
      </c>
      <c r="K220">
        <v>139.9</v>
      </c>
      <c r="L220">
        <v>123.4</v>
      </c>
      <c r="M220">
        <v>140.9</v>
      </c>
      <c r="N220">
        <v>118.5</v>
      </c>
      <c r="O220">
        <v>136.5</v>
      </c>
      <c r="P220">
        <v>127.4</v>
      </c>
      <c r="Q220">
        <v>144.19999999999999</v>
      </c>
      <c r="R220">
        <v>133.5</v>
      </c>
      <c r="S220">
        <v>145.4</v>
      </c>
      <c r="T220">
        <v>138</v>
      </c>
      <c r="U220">
        <v>131.1</v>
      </c>
      <c r="V220">
        <v>137</v>
      </c>
      <c r="W220" s="3">
        <v>131.69999999999999</v>
      </c>
      <c r="X220">
        <v>129.80000000000001</v>
      </c>
      <c r="Y220">
        <v>130.4</v>
      </c>
      <c r="Z220">
        <v>128.1</v>
      </c>
      <c r="AA220">
        <v>116.6</v>
      </c>
      <c r="AB220">
        <v>125.1</v>
      </c>
      <c r="AC220">
        <v>134.5</v>
      </c>
      <c r="AD220">
        <v>123.1</v>
      </c>
      <c r="AE220">
        <v>125.1</v>
      </c>
      <c r="AF220">
        <v>131.1</v>
      </c>
      <c r="AG22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21" spans="1:33" hidden="1" x14ac:dyDescent="0.3">
      <c r="A221" t="s">
        <v>30</v>
      </c>
      <c r="B221">
        <v>2019</v>
      </c>
      <c r="C221" t="s">
        <v>34</v>
      </c>
      <c r="D221" s="10">
        <f>DATE(All_India_Index_Upto_April23__13[[#This Row],[Year]],All_India_Index_Upto_April23__13[[#This Row],[Month Number]],1)</f>
        <v>43497</v>
      </c>
      <c r="E221" s="2" t="str">
        <f>IF(All_India_Index_Upto_April23__13[[#This Row],[Date]]&lt;DATE(2020, 3, 1),"Pre-COVID","Post-COVID")</f>
        <v>Pre-COVID</v>
      </c>
      <c r="F221">
        <v>136.80000000000001</v>
      </c>
      <c r="G221">
        <v>153</v>
      </c>
      <c r="H221">
        <v>139.1</v>
      </c>
      <c r="I221">
        <v>142.5</v>
      </c>
      <c r="J221">
        <v>124.1</v>
      </c>
      <c r="K221">
        <v>135.80000000000001</v>
      </c>
      <c r="L221">
        <v>128.69999999999999</v>
      </c>
      <c r="M221">
        <v>121.5</v>
      </c>
      <c r="N221">
        <v>108.3</v>
      </c>
      <c r="O221">
        <v>139.19999999999999</v>
      </c>
      <c r="P221">
        <v>137.4</v>
      </c>
      <c r="Q221">
        <v>156.19999999999999</v>
      </c>
      <c r="R221">
        <v>137.19999999999999</v>
      </c>
      <c r="S221">
        <v>162.80000000000001</v>
      </c>
      <c r="T221">
        <v>150.5</v>
      </c>
      <c r="U221">
        <v>146.1</v>
      </c>
      <c r="V221">
        <v>149.9</v>
      </c>
      <c r="W221" s="3">
        <v>141</v>
      </c>
      <c r="X221">
        <v>145.30000000000001</v>
      </c>
      <c r="Y221">
        <v>150.1</v>
      </c>
      <c r="Z221">
        <v>149.9</v>
      </c>
      <c r="AA221">
        <v>129.19999999999999</v>
      </c>
      <c r="AB221">
        <v>143.4</v>
      </c>
      <c r="AC221">
        <v>155.5</v>
      </c>
      <c r="AD221">
        <v>134.9</v>
      </c>
      <c r="AE221">
        <v>142.19999999999999</v>
      </c>
      <c r="AF221">
        <v>141</v>
      </c>
      <c r="AG22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22" spans="1:33" hidden="1" x14ac:dyDescent="0.3">
      <c r="A222" t="s">
        <v>32</v>
      </c>
      <c r="B222">
        <v>2019</v>
      </c>
      <c r="C222" t="s">
        <v>34</v>
      </c>
      <c r="D222" s="10">
        <f>DATE(All_India_Index_Upto_April23__13[[#This Row],[Year]],All_India_Index_Upto_April23__13[[#This Row],[Month Number]],1)</f>
        <v>43497</v>
      </c>
      <c r="E222" s="2" t="str">
        <f>IF(All_India_Index_Upto_April23__13[[#This Row],[Date]]&lt;DATE(2020, 3, 1),"Pre-COVID","Post-COVID")</f>
        <v>Pre-COVID</v>
      </c>
      <c r="F222">
        <v>139.4</v>
      </c>
      <c r="G222">
        <v>150.1</v>
      </c>
      <c r="H222">
        <v>145.30000000000001</v>
      </c>
      <c r="I222">
        <v>141.69999999999999</v>
      </c>
      <c r="J222">
        <v>118.4</v>
      </c>
      <c r="K222">
        <v>137</v>
      </c>
      <c r="L222">
        <v>131.6</v>
      </c>
      <c r="M222">
        <v>119.9</v>
      </c>
      <c r="N222">
        <v>110.4</v>
      </c>
      <c r="O222">
        <v>140.80000000000001</v>
      </c>
      <c r="P222">
        <v>128.30000000000001</v>
      </c>
      <c r="Q222">
        <v>153.5</v>
      </c>
      <c r="R222">
        <v>138</v>
      </c>
      <c r="S222">
        <v>164.9</v>
      </c>
      <c r="T222">
        <v>143.30000000000001</v>
      </c>
      <c r="U222">
        <v>130.80000000000001</v>
      </c>
      <c r="V222">
        <v>141.4</v>
      </c>
      <c r="W222" s="3">
        <v>148.5</v>
      </c>
      <c r="X222">
        <v>127.1</v>
      </c>
      <c r="Y222">
        <v>136.6</v>
      </c>
      <c r="Z222">
        <v>138.5</v>
      </c>
      <c r="AA222">
        <v>119.2</v>
      </c>
      <c r="AB222">
        <v>132.19999999999999</v>
      </c>
      <c r="AC222">
        <v>146.6</v>
      </c>
      <c r="AD222">
        <v>133</v>
      </c>
      <c r="AE222">
        <v>132.4</v>
      </c>
      <c r="AF222">
        <v>138.6</v>
      </c>
      <c r="AG22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23" spans="1:33" x14ac:dyDescent="0.3">
      <c r="A223" t="s">
        <v>33</v>
      </c>
      <c r="B223">
        <v>2017</v>
      </c>
      <c r="C223" t="s">
        <v>35</v>
      </c>
      <c r="D223" s="10">
        <f>DATE(All_India_Index_Upto_April23__13[[#This Row],[Year]],All_India_Index_Upto_April23__13[[#This Row],[Month Number]],1)</f>
        <v>42795</v>
      </c>
      <c r="E223" s="2" t="str">
        <f>IF(All_India_Index_Upto_April23__13[[#This Row],[Date]]&lt;DATE(2020, 3, 1),"Pre-COVID","Post-COVID")</f>
        <v>Pre-COVID</v>
      </c>
      <c r="F223">
        <v>133.30000000000001</v>
      </c>
      <c r="G223">
        <v>139</v>
      </c>
      <c r="H223">
        <v>128.6</v>
      </c>
      <c r="I223">
        <v>136.30000000000001</v>
      </c>
      <c r="J223">
        <v>118.8</v>
      </c>
      <c r="K223">
        <v>138.30000000000001</v>
      </c>
      <c r="L223">
        <v>120.5</v>
      </c>
      <c r="M223">
        <v>143.9</v>
      </c>
      <c r="N223">
        <v>118</v>
      </c>
      <c r="O223">
        <v>137.9</v>
      </c>
      <c r="P223">
        <v>127.2</v>
      </c>
      <c r="Q223">
        <v>144</v>
      </c>
      <c r="R223">
        <v>133.1</v>
      </c>
      <c r="S223">
        <v>145.1</v>
      </c>
      <c r="T223">
        <v>137.30000000000001</v>
      </c>
      <c r="U223">
        <v>130.6</v>
      </c>
      <c r="V223">
        <v>136.4</v>
      </c>
      <c r="W223" s="3">
        <v>131.1</v>
      </c>
      <c r="X223">
        <v>129.1</v>
      </c>
      <c r="Y223">
        <v>130.1</v>
      </c>
      <c r="Z223">
        <v>127.8</v>
      </c>
      <c r="AA223">
        <v>117.6</v>
      </c>
      <c r="AB223">
        <v>125</v>
      </c>
      <c r="AC223">
        <v>133.80000000000001</v>
      </c>
      <c r="AD223">
        <v>122.6</v>
      </c>
      <c r="AE223">
        <v>125.1</v>
      </c>
      <c r="AF223">
        <v>130.9</v>
      </c>
      <c r="AG22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24" spans="1:33" hidden="1" x14ac:dyDescent="0.3">
      <c r="A224" t="s">
        <v>30</v>
      </c>
      <c r="B224">
        <v>2019</v>
      </c>
      <c r="C224" t="s">
        <v>35</v>
      </c>
      <c r="D224" s="10">
        <f>DATE(All_India_Index_Upto_April23__13[[#This Row],[Year]],All_India_Index_Upto_April23__13[[#This Row],[Month Number]],1)</f>
        <v>43525</v>
      </c>
      <c r="E224" s="2" t="str">
        <f>IF(All_India_Index_Upto_April23__13[[#This Row],[Date]]&lt;DATE(2020, 3, 1),"Pre-COVID","Post-COVID")</f>
        <v>Pre-COVID</v>
      </c>
      <c r="F224">
        <v>136.9</v>
      </c>
      <c r="G224">
        <v>154.1</v>
      </c>
      <c r="H224">
        <v>138.69999999999999</v>
      </c>
      <c r="I224">
        <v>142.5</v>
      </c>
      <c r="J224">
        <v>124.1</v>
      </c>
      <c r="K224">
        <v>136.1</v>
      </c>
      <c r="L224">
        <v>128.19999999999999</v>
      </c>
      <c r="M224">
        <v>122.3</v>
      </c>
      <c r="N224">
        <v>108.3</v>
      </c>
      <c r="O224">
        <v>138.9</v>
      </c>
      <c r="P224">
        <v>137.4</v>
      </c>
      <c r="Q224">
        <v>156.4</v>
      </c>
      <c r="R224">
        <v>137.30000000000001</v>
      </c>
      <c r="S224">
        <v>162.9</v>
      </c>
      <c r="T224">
        <v>150.80000000000001</v>
      </c>
      <c r="U224">
        <v>146.1</v>
      </c>
      <c r="V224">
        <v>150.1</v>
      </c>
      <c r="W224" s="3">
        <v>141</v>
      </c>
      <c r="X224">
        <v>146.4</v>
      </c>
      <c r="Y224">
        <v>150</v>
      </c>
      <c r="Z224">
        <v>150.4</v>
      </c>
      <c r="AA224">
        <v>129.9</v>
      </c>
      <c r="AB224">
        <v>143.80000000000001</v>
      </c>
      <c r="AC224">
        <v>155.5</v>
      </c>
      <c r="AD224">
        <v>134</v>
      </c>
      <c r="AE224">
        <v>142.4</v>
      </c>
      <c r="AF224">
        <v>141.19999999999999</v>
      </c>
      <c r="AG22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25" spans="1:33" hidden="1" x14ac:dyDescent="0.3">
      <c r="A225" t="s">
        <v>32</v>
      </c>
      <c r="B225">
        <v>2019</v>
      </c>
      <c r="C225" t="s">
        <v>35</v>
      </c>
      <c r="D225" s="10">
        <f>DATE(All_India_Index_Upto_April23__13[[#This Row],[Year]],All_India_Index_Upto_April23__13[[#This Row],[Month Number]],1)</f>
        <v>43525</v>
      </c>
      <c r="E225" s="2" t="str">
        <f>IF(All_India_Index_Upto_April23__13[[#This Row],[Date]]&lt;DATE(2020, 3, 1),"Pre-COVID","Post-COVID")</f>
        <v>Pre-COVID</v>
      </c>
      <c r="F225">
        <v>139.69999999999999</v>
      </c>
      <c r="G225">
        <v>151.1</v>
      </c>
      <c r="H225">
        <v>142.9</v>
      </c>
      <c r="I225">
        <v>141.9</v>
      </c>
      <c r="J225">
        <v>118.4</v>
      </c>
      <c r="K225">
        <v>139.4</v>
      </c>
      <c r="L225">
        <v>141.19999999999999</v>
      </c>
      <c r="M225">
        <v>120.7</v>
      </c>
      <c r="N225">
        <v>110.4</v>
      </c>
      <c r="O225">
        <v>140.69999999999999</v>
      </c>
      <c r="P225">
        <v>128.5</v>
      </c>
      <c r="Q225">
        <v>153.9</v>
      </c>
      <c r="R225">
        <v>139.6</v>
      </c>
      <c r="S225">
        <v>165.3</v>
      </c>
      <c r="T225">
        <v>143.5</v>
      </c>
      <c r="U225">
        <v>131.19999999999999</v>
      </c>
      <c r="V225">
        <v>141.6</v>
      </c>
      <c r="W225" s="3">
        <v>149</v>
      </c>
      <c r="X225">
        <v>128.80000000000001</v>
      </c>
      <c r="Y225">
        <v>136.80000000000001</v>
      </c>
      <c r="Z225">
        <v>139.19999999999999</v>
      </c>
      <c r="AA225">
        <v>119.9</v>
      </c>
      <c r="AB225">
        <v>133</v>
      </c>
      <c r="AC225">
        <v>146.69999999999999</v>
      </c>
      <c r="AD225">
        <v>132.5</v>
      </c>
      <c r="AE225">
        <v>132.80000000000001</v>
      </c>
      <c r="AF225">
        <v>139.5</v>
      </c>
      <c r="AG22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26" spans="1:33" x14ac:dyDescent="0.3">
      <c r="A226" t="s">
        <v>33</v>
      </c>
      <c r="B226">
        <v>2017</v>
      </c>
      <c r="C226" t="s">
        <v>34</v>
      </c>
      <c r="D226" s="10">
        <f>DATE(All_India_Index_Upto_April23__13[[#This Row],[Year]],All_India_Index_Upto_April23__13[[#This Row],[Month Number]],1)</f>
        <v>42767</v>
      </c>
      <c r="E226" s="2" t="str">
        <f>IF(All_India_Index_Upto_April23__13[[#This Row],[Date]]&lt;DATE(2020, 3, 1),"Pre-COVID","Post-COVID")</f>
        <v>Pre-COVID</v>
      </c>
      <c r="F226">
        <v>133.1</v>
      </c>
      <c r="G226">
        <v>138.80000000000001</v>
      </c>
      <c r="H226">
        <v>129.30000000000001</v>
      </c>
      <c r="I226">
        <v>135.80000000000001</v>
      </c>
      <c r="J226">
        <v>119.2</v>
      </c>
      <c r="K226">
        <v>135.30000000000001</v>
      </c>
      <c r="L226">
        <v>119.5</v>
      </c>
      <c r="M226">
        <v>152.19999999999999</v>
      </c>
      <c r="N226">
        <v>117.3</v>
      </c>
      <c r="O226">
        <v>138.69999999999999</v>
      </c>
      <c r="P226">
        <v>126.9</v>
      </c>
      <c r="Q226">
        <v>143.19999999999999</v>
      </c>
      <c r="R226">
        <v>133</v>
      </c>
      <c r="S226">
        <v>144.4</v>
      </c>
      <c r="T226">
        <v>136.80000000000001</v>
      </c>
      <c r="U226">
        <v>130.30000000000001</v>
      </c>
      <c r="V226">
        <v>135.9</v>
      </c>
      <c r="W226" s="3">
        <v>130.5</v>
      </c>
      <c r="X226">
        <v>127.9</v>
      </c>
      <c r="Y226">
        <v>129.69999999999999</v>
      </c>
      <c r="Z226">
        <v>127.4</v>
      </c>
      <c r="AA226">
        <v>117.4</v>
      </c>
      <c r="AB226">
        <v>124.6</v>
      </c>
      <c r="AC226">
        <v>133.4</v>
      </c>
      <c r="AD226">
        <v>122.6</v>
      </c>
      <c r="AE226">
        <v>124.8</v>
      </c>
      <c r="AF226">
        <v>130.6</v>
      </c>
      <c r="AG22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27" spans="1:33" hidden="1" x14ac:dyDescent="0.3">
      <c r="A227" t="s">
        <v>30</v>
      </c>
      <c r="B227">
        <v>2019</v>
      </c>
      <c r="C227" t="s">
        <v>37</v>
      </c>
      <c r="D227" s="10">
        <f>DATE(All_India_Index_Upto_April23__13[[#This Row],[Year]],All_India_Index_Upto_April23__13[[#This Row],[Month Number]],1)</f>
        <v>43586</v>
      </c>
      <c r="E227" s="2" t="str">
        <f>IF(All_India_Index_Upto_April23__13[[#This Row],[Date]]&lt;DATE(2020, 3, 1),"Pre-COVID","Post-COVID")</f>
        <v>Pre-COVID</v>
      </c>
      <c r="F227">
        <v>137.4</v>
      </c>
      <c r="G227">
        <v>159.5</v>
      </c>
      <c r="H227">
        <v>134.5</v>
      </c>
      <c r="I227">
        <v>142.6</v>
      </c>
      <c r="J227">
        <v>124</v>
      </c>
      <c r="K227">
        <v>143.69999999999999</v>
      </c>
      <c r="L227">
        <v>133.4</v>
      </c>
      <c r="M227">
        <v>125.1</v>
      </c>
      <c r="N227">
        <v>109.3</v>
      </c>
      <c r="O227">
        <v>139.30000000000001</v>
      </c>
      <c r="P227">
        <v>137.69999999999999</v>
      </c>
      <c r="Q227">
        <v>156.4</v>
      </c>
      <c r="R227">
        <v>139.19999999999999</v>
      </c>
      <c r="S227">
        <v>163.30000000000001</v>
      </c>
      <c r="T227">
        <v>151.30000000000001</v>
      </c>
      <c r="U227">
        <v>146.6</v>
      </c>
      <c r="V227">
        <v>150.69999999999999</v>
      </c>
      <c r="W227" s="3">
        <v>141</v>
      </c>
      <c r="X227">
        <v>146.9</v>
      </c>
      <c r="Y227">
        <v>149.5</v>
      </c>
      <c r="Z227">
        <v>151.30000000000001</v>
      </c>
      <c r="AA227">
        <v>130.19999999999999</v>
      </c>
      <c r="AB227">
        <v>145.9</v>
      </c>
      <c r="AC227">
        <v>156.69999999999999</v>
      </c>
      <c r="AD227">
        <v>133.9</v>
      </c>
      <c r="AE227">
        <v>142.9</v>
      </c>
      <c r="AF227">
        <v>142.4</v>
      </c>
      <c r="AG22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28" spans="1:33" hidden="1" x14ac:dyDescent="0.3">
      <c r="A228" t="s">
        <v>32</v>
      </c>
      <c r="B228">
        <v>2019</v>
      </c>
      <c r="C228" t="s">
        <v>37</v>
      </c>
      <c r="D228" s="10">
        <f>DATE(All_India_Index_Upto_April23__13[[#This Row],[Year]],All_India_Index_Upto_April23__13[[#This Row],[Month Number]],1)</f>
        <v>43586</v>
      </c>
      <c r="E228" s="2" t="str">
        <f>IF(All_India_Index_Upto_April23__13[[#This Row],[Date]]&lt;DATE(2020, 3, 1),"Pre-COVID","Post-COVID")</f>
        <v>Pre-COVID</v>
      </c>
      <c r="F228">
        <v>140.4</v>
      </c>
      <c r="G228">
        <v>156.69999999999999</v>
      </c>
      <c r="H228">
        <v>138.30000000000001</v>
      </c>
      <c r="I228">
        <v>142.4</v>
      </c>
      <c r="J228">
        <v>118.6</v>
      </c>
      <c r="K228">
        <v>149.69999999999999</v>
      </c>
      <c r="L228">
        <v>161.6</v>
      </c>
      <c r="M228">
        <v>124.4</v>
      </c>
      <c r="N228">
        <v>111.2</v>
      </c>
      <c r="O228">
        <v>141</v>
      </c>
      <c r="P228">
        <v>128.9</v>
      </c>
      <c r="Q228">
        <v>154.5</v>
      </c>
      <c r="R228">
        <v>143.80000000000001</v>
      </c>
      <c r="S228">
        <v>166.2</v>
      </c>
      <c r="T228">
        <v>144</v>
      </c>
      <c r="U228">
        <v>131.69999999999999</v>
      </c>
      <c r="V228">
        <v>142.19999999999999</v>
      </c>
      <c r="W228" s="3">
        <v>150.1</v>
      </c>
      <c r="X228">
        <v>129.4</v>
      </c>
      <c r="Y228">
        <v>137.19999999999999</v>
      </c>
      <c r="Z228">
        <v>139.80000000000001</v>
      </c>
      <c r="AA228">
        <v>120.1</v>
      </c>
      <c r="AB228">
        <v>134</v>
      </c>
      <c r="AC228">
        <v>148</v>
      </c>
      <c r="AD228">
        <v>132.6</v>
      </c>
      <c r="AE228">
        <v>133.30000000000001</v>
      </c>
      <c r="AF228">
        <v>141.5</v>
      </c>
      <c r="AG22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29" spans="1:33" x14ac:dyDescent="0.3">
      <c r="A229" t="s">
        <v>33</v>
      </c>
      <c r="B229">
        <v>2017</v>
      </c>
      <c r="C229" t="s">
        <v>31</v>
      </c>
      <c r="D229" s="10">
        <f>DATE(All_India_Index_Upto_April23__13[[#This Row],[Year]],All_India_Index_Upto_April23__13[[#This Row],[Month Number]],1)</f>
        <v>42736</v>
      </c>
      <c r="E229" s="2" t="str">
        <f>IF(All_India_Index_Upto_April23__13[[#This Row],[Date]]&lt;DATE(2020, 3, 1),"Pre-COVID","Post-COVID")</f>
        <v>Pre-COVID</v>
      </c>
      <c r="F229">
        <v>132.80000000000001</v>
      </c>
      <c r="G229">
        <v>138.19999999999999</v>
      </c>
      <c r="H229">
        <v>132.19999999999999</v>
      </c>
      <c r="I229">
        <v>135.4</v>
      </c>
      <c r="J229">
        <v>119.1</v>
      </c>
      <c r="K229">
        <v>133</v>
      </c>
      <c r="L229">
        <v>119.4</v>
      </c>
      <c r="M229">
        <v>159.5</v>
      </c>
      <c r="N229">
        <v>115.6</v>
      </c>
      <c r="O229">
        <v>139.6</v>
      </c>
      <c r="P229">
        <v>126.6</v>
      </c>
      <c r="Q229">
        <v>142.80000000000001</v>
      </c>
      <c r="R229">
        <v>133.1</v>
      </c>
      <c r="S229">
        <v>143.80000000000001</v>
      </c>
      <c r="T229">
        <v>136.6</v>
      </c>
      <c r="U229">
        <v>130.19999999999999</v>
      </c>
      <c r="V229">
        <v>135.6</v>
      </c>
      <c r="W229" s="3">
        <v>129.6</v>
      </c>
      <c r="X229">
        <v>126.8</v>
      </c>
      <c r="Y229">
        <v>129.4</v>
      </c>
      <c r="Z229">
        <v>127.1</v>
      </c>
      <c r="AA229">
        <v>117</v>
      </c>
      <c r="AB229">
        <v>124.2</v>
      </c>
      <c r="AC229">
        <v>133.30000000000001</v>
      </c>
      <c r="AD229">
        <v>121.7</v>
      </c>
      <c r="AE229">
        <v>124.4</v>
      </c>
      <c r="AF229">
        <v>130.30000000000001</v>
      </c>
      <c r="AG22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30" spans="1:33" hidden="1" x14ac:dyDescent="0.3">
      <c r="A230" t="s">
        <v>30</v>
      </c>
      <c r="B230">
        <v>2019</v>
      </c>
      <c r="C230" t="s">
        <v>38</v>
      </c>
      <c r="D230" s="10">
        <f>DATE(All_India_Index_Upto_April23__13[[#This Row],[Year]],All_India_Index_Upto_April23__13[[#This Row],[Month Number]],1)</f>
        <v>43617</v>
      </c>
      <c r="E230" s="2" t="str">
        <f>IF(All_India_Index_Upto_April23__13[[#This Row],[Date]]&lt;DATE(2020, 3, 1),"Pre-COVID","Post-COVID")</f>
        <v>Pre-COVID</v>
      </c>
      <c r="F230">
        <v>137.80000000000001</v>
      </c>
      <c r="G230">
        <v>163.5</v>
      </c>
      <c r="H230">
        <v>136.19999999999999</v>
      </c>
      <c r="I230">
        <v>143.19999999999999</v>
      </c>
      <c r="J230">
        <v>124.3</v>
      </c>
      <c r="K230">
        <v>143.30000000000001</v>
      </c>
      <c r="L230">
        <v>140.6</v>
      </c>
      <c r="M230">
        <v>128.69999999999999</v>
      </c>
      <c r="N230">
        <v>110.6</v>
      </c>
      <c r="O230">
        <v>140.4</v>
      </c>
      <c r="P230">
        <v>138</v>
      </c>
      <c r="Q230">
        <v>156.6</v>
      </c>
      <c r="R230">
        <v>141</v>
      </c>
      <c r="S230">
        <v>164.2</v>
      </c>
      <c r="T230">
        <v>151.4</v>
      </c>
      <c r="U230">
        <v>146.5</v>
      </c>
      <c r="V230">
        <v>150.69999999999999</v>
      </c>
      <c r="W230" s="3">
        <v>141</v>
      </c>
      <c r="X230">
        <v>147.80000000000001</v>
      </c>
      <c r="Y230">
        <v>149.6</v>
      </c>
      <c r="Z230">
        <v>151.69999999999999</v>
      </c>
      <c r="AA230">
        <v>130.19999999999999</v>
      </c>
      <c r="AB230">
        <v>146.4</v>
      </c>
      <c r="AC230">
        <v>157.69999999999999</v>
      </c>
      <c r="AD230">
        <v>134.80000000000001</v>
      </c>
      <c r="AE230">
        <v>143.30000000000001</v>
      </c>
      <c r="AF230">
        <v>143.6</v>
      </c>
      <c r="AG23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31" spans="1:33" hidden="1" x14ac:dyDescent="0.3">
      <c r="A231" t="s">
        <v>32</v>
      </c>
      <c r="B231">
        <v>2019</v>
      </c>
      <c r="C231" t="s">
        <v>38</v>
      </c>
      <c r="D231" s="10">
        <f>DATE(All_India_Index_Upto_April23__13[[#This Row],[Year]],All_India_Index_Upto_April23__13[[#This Row],[Month Number]],1)</f>
        <v>43617</v>
      </c>
      <c r="E231" s="2" t="str">
        <f>IF(All_India_Index_Upto_April23__13[[#This Row],[Date]]&lt;DATE(2020, 3, 1),"Pre-COVID","Post-COVID")</f>
        <v>Pre-COVID</v>
      </c>
      <c r="F231">
        <v>140.69999999999999</v>
      </c>
      <c r="G231">
        <v>159.6</v>
      </c>
      <c r="H231">
        <v>140.4</v>
      </c>
      <c r="I231">
        <v>143.4</v>
      </c>
      <c r="J231">
        <v>118.6</v>
      </c>
      <c r="K231">
        <v>150.9</v>
      </c>
      <c r="L231">
        <v>169.8</v>
      </c>
      <c r="M231">
        <v>127.4</v>
      </c>
      <c r="N231">
        <v>111.8</v>
      </c>
      <c r="O231">
        <v>141</v>
      </c>
      <c r="P231">
        <v>129</v>
      </c>
      <c r="Q231">
        <v>155.1</v>
      </c>
      <c r="R231">
        <v>145.6</v>
      </c>
      <c r="S231">
        <v>166.7</v>
      </c>
      <c r="T231">
        <v>144.30000000000001</v>
      </c>
      <c r="U231">
        <v>131.69999999999999</v>
      </c>
      <c r="V231">
        <v>142.4</v>
      </c>
      <c r="W231" s="3">
        <v>149.4</v>
      </c>
      <c r="X231">
        <v>130.5</v>
      </c>
      <c r="Y231">
        <v>137.4</v>
      </c>
      <c r="Z231">
        <v>140.30000000000001</v>
      </c>
      <c r="AA231">
        <v>119.6</v>
      </c>
      <c r="AB231">
        <v>134.30000000000001</v>
      </c>
      <c r="AC231">
        <v>148.9</v>
      </c>
      <c r="AD231">
        <v>133.69999999999999</v>
      </c>
      <c r="AE231">
        <v>133.6</v>
      </c>
      <c r="AF231">
        <v>142.1</v>
      </c>
      <c r="AG23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32" spans="1:33" x14ac:dyDescent="0.3">
      <c r="A232" t="s">
        <v>33</v>
      </c>
      <c r="B232">
        <v>2016</v>
      </c>
      <c r="C232" t="s">
        <v>44</v>
      </c>
      <c r="D232" s="10">
        <f>DATE(All_India_Index_Upto_April23__13[[#This Row],[Year]],All_India_Index_Upto_April23__13[[#This Row],[Month Number]],1)</f>
        <v>42705</v>
      </c>
      <c r="E232" s="2" t="str">
        <f>IF(All_India_Index_Upto_April23__13[[#This Row],[Date]]&lt;DATE(2020, 3, 1),"Pre-COVID","Post-COVID")</f>
        <v>Pre-COVID</v>
      </c>
      <c r="F232">
        <v>132.30000000000001</v>
      </c>
      <c r="G232">
        <v>137.6</v>
      </c>
      <c r="H232">
        <v>132.9</v>
      </c>
      <c r="I232">
        <v>135.1</v>
      </c>
      <c r="J232">
        <v>118.6</v>
      </c>
      <c r="K232">
        <v>132.69999999999999</v>
      </c>
      <c r="L232">
        <v>125.3</v>
      </c>
      <c r="M232">
        <v>168.7</v>
      </c>
      <c r="N232">
        <v>114.4</v>
      </c>
      <c r="O232">
        <v>140.19999999999999</v>
      </c>
      <c r="P232">
        <v>126.6</v>
      </c>
      <c r="Q232">
        <v>142.30000000000001</v>
      </c>
      <c r="R232">
        <v>134</v>
      </c>
      <c r="S232">
        <v>143.1</v>
      </c>
      <c r="T232">
        <v>136.30000000000001</v>
      </c>
      <c r="U232">
        <v>129.80000000000001</v>
      </c>
      <c r="V232">
        <v>135.4</v>
      </c>
      <c r="W232" s="3">
        <v>128.5</v>
      </c>
      <c r="X232">
        <v>126.6</v>
      </c>
      <c r="Y232">
        <v>129.19999999999999</v>
      </c>
      <c r="Z232">
        <v>126.9</v>
      </c>
      <c r="AA232">
        <v>116</v>
      </c>
      <c r="AB232">
        <v>124.2</v>
      </c>
      <c r="AC232">
        <v>133.1</v>
      </c>
      <c r="AD232">
        <v>121.1</v>
      </c>
      <c r="AE232">
        <v>123.9</v>
      </c>
      <c r="AF232">
        <v>130.4</v>
      </c>
      <c r="AG23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33" spans="1:33" hidden="1" x14ac:dyDescent="0.3">
      <c r="A233" t="s">
        <v>30</v>
      </c>
      <c r="B233">
        <v>2019</v>
      </c>
      <c r="C233" t="s">
        <v>39</v>
      </c>
      <c r="D233" s="10">
        <f>DATE(All_India_Index_Upto_April23__13[[#This Row],[Year]],All_India_Index_Upto_April23__13[[#This Row],[Month Number]],1)</f>
        <v>43647</v>
      </c>
      <c r="E233" s="2" t="str">
        <f>IF(All_India_Index_Upto_April23__13[[#This Row],[Date]]&lt;DATE(2020, 3, 1),"Pre-COVID","Post-COVID")</f>
        <v>Pre-COVID</v>
      </c>
      <c r="F233">
        <v>138.4</v>
      </c>
      <c r="G233">
        <v>164</v>
      </c>
      <c r="H233">
        <v>138.4</v>
      </c>
      <c r="I233">
        <v>143.9</v>
      </c>
      <c r="J233">
        <v>124.4</v>
      </c>
      <c r="K233">
        <v>146.4</v>
      </c>
      <c r="L233">
        <v>150.1</v>
      </c>
      <c r="M233">
        <v>130.6</v>
      </c>
      <c r="N233">
        <v>110.8</v>
      </c>
      <c r="O233">
        <v>141.69999999999999</v>
      </c>
      <c r="P233">
        <v>138.5</v>
      </c>
      <c r="Q233">
        <v>156.69999999999999</v>
      </c>
      <c r="R233">
        <v>143</v>
      </c>
      <c r="S233">
        <v>164.5</v>
      </c>
      <c r="T233">
        <v>151.6</v>
      </c>
      <c r="U233">
        <v>146.6</v>
      </c>
      <c r="V233">
        <v>150.9</v>
      </c>
      <c r="W233" s="3">
        <v>141</v>
      </c>
      <c r="X233">
        <v>146.80000000000001</v>
      </c>
      <c r="Y233">
        <v>150</v>
      </c>
      <c r="Z233">
        <v>152.19999999999999</v>
      </c>
      <c r="AA233">
        <v>131.19999999999999</v>
      </c>
      <c r="AB233">
        <v>147.5</v>
      </c>
      <c r="AC233">
        <v>159.1</v>
      </c>
      <c r="AD233">
        <v>136.1</v>
      </c>
      <c r="AE233">
        <v>144.19999999999999</v>
      </c>
      <c r="AF233">
        <v>144.9</v>
      </c>
      <c r="AG23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34" spans="1:33" hidden="1" x14ac:dyDescent="0.3">
      <c r="A234" t="s">
        <v>32</v>
      </c>
      <c r="B234">
        <v>2019</v>
      </c>
      <c r="C234" t="s">
        <v>39</v>
      </c>
      <c r="D234" s="10">
        <f>DATE(All_India_Index_Upto_April23__13[[#This Row],[Year]],All_India_Index_Upto_April23__13[[#This Row],[Month Number]],1)</f>
        <v>43647</v>
      </c>
      <c r="E234" s="2" t="str">
        <f>IF(All_India_Index_Upto_April23__13[[#This Row],[Date]]&lt;DATE(2020, 3, 1),"Pre-COVID","Post-COVID")</f>
        <v>Pre-COVID</v>
      </c>
      <c r="F234">
        <v>141.4</v>
      </c>
      <c r="G234">
        <v>160.19999999999999</v>
      </c>
      <c r="H234">
        <v>142.5</v>
      </c>
      <c r="I234">
        <v>144.1</v>
      </c>
      <c r="J234">
        <v>119.3</v>
      </c>
      <c r="K234">
        <v>154.69999999999999</v>
      </c>
      <c r="L234">
        <v>180.1</v>
      </c>
      <c r="M234">
        <v>128.9</v>
      </c>
      <c r="N234">
        <v>111.8</v>
      </c>
      <c r="O234">
        <v>141.6</v>
      </c>
      <c r="P234">
        <v>129.5</v>
      </c>
      <c r="Q234">
        <v>155.6</v>
      </c>
      <c r="R234">
        <v>147.69999999999999</v>
      </c>
      <c r="S234">
        <v>167.2</v>
      </c>
      <c r="T234">
        <v>144.69999999999999</v>
      </c>
      <c r="U234">
        <v>131.9</v>
      </c>
      <c r="V234">
        <v>142.69999999999999</v>
      </c>
      <c r="W234" s="3">
        <v>150.6</v>
      </c>
      <c r="X234">
        <v>127</v>
      </c>
      <c r="Y234">
        <v>137.69999999999999</v>
      </c>
      <c r="Z234">
        <v>140.80000000000001</v>
      </c>
      <c r="AA234">
        <v>120.6</v>
      </c>
      <c r="AB234">
        <v>135</v>
      </c>
      <c r="AC234">
        <v>150.4</v>
      </c>
      <c r="AD234">
        <v>135.1</v>
      </c>
      <c r="AE234">
        <v>134.5</v>
      </c>
      <c r="AF234">
        <v>143.30000000000001</v>
      </c>
      <c r="AG23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35" spans="1:33" x14ac:dyDescent="0.3">
      <c r="A235" t="s">
        <v>33</v>
      </c>
      <c r="B235">
        <v>2016</v>
      </c>
      <c r="C235" t="s">
        <v>43</v>
      </c>
      <c r="D235" s="10">
        <f>DATE(All_India_Index_Upto_April23__13[[#This Row],[Year]],All_India_Index_Upto_April23__13[[#This Row],[Month Number]],1)</f>
        <v>42675</v>
      </c>
      <c r="E235" s="2" t="str">
        <f>IF(All_India_Index_Upto_April23__13[[#This Row],[Date]]&lt;DATE(2020, 3, 1),"Pre-COVID","Post-COVID")</f>
        <v>Pre-COVID</v>
      </c>
      <c r="F235">
        <v>131.4</v>
      </c>
      <c r="G235">
        <v>137.80000000000001</v>
      </c>
      <c r="H235">
        <v>132</v>
      </c>
      <c r="I235">
        <v>135</v>
      </c>
      <c r="J235">
        <v>118</v>
      </c>
      <c r="K235">
        <v>134.1</v>
      </c>
      <c r="L235">
        <v>141.9</v>
      </c>
      <c r="M235">
        <v>171.7</v>
      </c>
      <c r="N235">
        <v>114.1</v>
      </c>
      <c r="O235">
        <v>139.69999999999999</v>
      </c>
      <c r="P235">
        <v>126.2</v>
      </c>
      <c r="Q235">
        <v>141.80000000000001</v>
      </c>
      <c r="R235">
        <v>136.1</v>
      </c>
      <c r="S235">
        <v>142</v>
      </c>
      <c r="T235">
        <v>135.80000000000001</v>
      </c>
      <c r="U235">
        <v>129.30000000000001</v>
      </c>
      <c r="V235">
        <v>135</v>
      </c>
      <c r="W235" s="3">
        <v>129.1</v>
      </c>
      <c r="X235">
        <v>125</v>
      </c>
      <c r="Y235">
        <v>128.6</v>
      </c>
      <c r="Z235">
        <v>126.4</v>
      </c>
      <c r="AA235">
        <v>115.7</v>
      </c>
      <c r="AB235">
        <v>124</v>
      </c>
      <c r="AC235">
        <v>132.80000000000001</v>
      </c>
      <c r="AD235">
        <v>122.6</v>
      </c>
      <c r="AE235">
        <v>123.8</v>
      </c>
      <c r="AF235">
        <v>131.19999999999999</v>
      </c>
      <c r="AG23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36" spans="1:33" hidden="1" x14ac:dyDescent="0.3">
      <c r="A236" t="s">
        <v>30</v>
      </c>
      <c r="B236">
        <v>2019</v>
      </c>
      <c r="C236" t="s">
        <v>40</v>
      </c>
      <c r="D236" s="10">
        <f>DATE(All_India_Index_Upto_April23__13[[#This Row],[Year]],All_India_Index_Upto_April23__13[[#This Row],[Month Number]],1)</f>
        <v>43678</v>
      </c>
      <c r="E236" s="2" t="str">
        <f>IF(All_India_Index_Upto_April23__13[[#This Row],[Date]]&lt;DATE(2020, 3, 1),"Pre-COVID","Post-COVID")</f>
        <v>Pre-COVID</v>
      </c>
      <c r="F236">
        <v>139.19999999999999</v>
      </c>
      <c r="G236">
        <v>161.9</v>
      </c>
      <c r="H236">
        <v>137.1</v>
      </c>
      <c r="I236">
        <v>144.6</v>
      </c>
      <c r="J236">
        <v>124.7</v>
      </c>
      <c r="K236">
        <v>145.5</v>
      </c>
      <c r="L236">
        <v>156.19999999999999</v>
      </c>
      <c r="M236">
        <v>131.5</v>
      </c>
      <c r="N236">
        <v>111.7</v>
      </c>
      <c r="O236">
        <v>142.69999999999999</v>
      </c>
      <c r="P236">
        <v>138.5</v>
      </c>
      <c r="Q236">
        <v>156.9</v>
      </c>
      <c r="R236">
        <v>144</v>
      </c>
      <c r="S236">
        <v>165.1</v>
      </c>
      <c r="T236">
        <v>151.80000000000001</v>
      </c>
      <c r="U236">
        <v>146.6</v>
      </c>
      <c r="V236">
        <v>151.1</v>
      </c>
      <c r="W236" s="3">
        <v>141</v>
      </c>
      <c r="X236">
        <v>146.4</v>
      </c>
      <c r="Y236">
        <v>150.19999999999999</v>
      </c>
      <c r="Z236">
        <v>152.69999999999999</v>
      </c>
      <c r="AA236">
        <v>131.4</v>
      </c>
      <c r="AB236">
        <v>148</v>
      </c>
      <c r="AC236">
        <v>159.69999999999999</v>
      </c>
      <c r="AD236">
        <v>138.80000000000001</v>
      </c>
      <c r="AE236">
        <v>144.9</v>
      </c>
      <c r="AF236">
        <v>145.69999999999999</v>
      </c>
      <c r="AG23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37" spans="1:33" hidden="1" x14ac:dyDescent="0.3">
      <c r="A237" t="s">
        <v>32</v>
      </c>
      <c r="B237">
        <v>2019</v>
      </c>
      <c r="C237" t="s">
        <v>40</v>
      </c>
      <c r="D237" s="10">
        <f>DATE(All_India_Index_Upto_April23__13[[#This Row],[Year]],All_India_Index_Upto_April23__13[[#This Row],[Month Number]],1)</f>
        <v>43678</v>
      </c>
      <c r="E237" s="2" t="str">
        <f>IF(All_India_Index_Upto_April23__13[[#This Row],[Date]]&lt;DATE(2020, 3, 1),"Pre-COVID","Post-COVID")</f>
        <v>Pre-COVID</v>
      </c>
      <c r="F237">
        <v>142.1</v>
      </c>
      <c r="G237">
        <v>158.30000000000001</v>
      </c>
      <c r="H237">
        <v>140.80000000000001</v>
      </c>
      <c r="I237">
        <v>144.9</v>
      </c>
      <c r="J237">
        <v>119.9</v>
      </c>
      <c r="K237">
        <v>153.9</v>
      </c>
      <c r="L237">
        <v>189.1</v>
      </c>
      <c r="M237">
        <v>129.80000000000001</v>
      </c>
      <c r="N237">
        <v>112.7</v>
      </c>
      <c r="O237">
        <v>142.5</v>
      </c>
      <c r="P237">
        <v>129.80000000000001</v>
      </c>
      <c r="Q237">
        <v>156.19999999999999</v>
      </c>
      <c r="R237">
        <v>149.1</v>
      </c>
      <c r="S237">
        <v>167.9</v>
      </c>
      <c r="T237">
        <v>145</v>
      </c>
      <c r="U237">
        <v>132.19999999999999</v>
      </c>
      <c r="V237">
        <v>143</v>
      </c>
      <c r="W237" s="3">
        <v>151.6</v>
      </c>
      <c r="X237">
        <v>125.5</v>
      </c>
      <c r="Y237">
        <v>138.1</v>
      </c>
      <c r="Z237">
        <v>141.5</v>
      </c>
      <c r="AA237">
        <v>120.8</v>
      </c>
      <c r="AB237">
        <v>135.4</v>
      </c>
      <c r="AC237">
        <v>151.5</v>
      </c>
      <c r="AD237">
        <v>137.80000000000001</v>
      </c>
      <c r="AE237">
        <v>135.30000000000001</v>
      </c>
      <c r="AF237">
        <v>144.19999999999999</v>
      </c>
      <c r="AG23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38" spans="1:33" x14ac:dyDescent="0.3">
      <c r="A238" t="s">
        <v>33</v>
      </c>
      <c r="B238">
        <v>2016</v>
      </c>
      <c r="C238" t="s">
        <v>42</v>
      </c>
      <c r="D238" s="10">
        <f>DATE(All_India_Index_Upto_April23__13[[#This Row],[Year]],All_India_Index_Upto_April23__13[[#This Row],[Month Number]],1)</f>
        <v>42644</v>
      </c>
      <c r="E238" s="2" t="str">
        <f>IF(All_India_Index_Upto_April23__13[[#This Row],[Date]]&lt;DATE(2020, 3, 1),"Pre-COVID","Post-COVID")</f>
        <v>Pre-COVID</v>
      </c>
      <c r="F238">
        <v>130.5</v>
      </c>
      <c r="G238">
        <v>137.9</v>
      </c>
      <c r="H238">
        <v>130.19999999999999</v>
      </c>
      <c r="I238">
        <v>134.80000000000001</v>
      </c>
      <c r="J238">
        <v>117.8</v>
      </c>
      <c r="K238">
        <v>134.69999999999999</v>
      </c>
      <c r="L238">
        <v>151.19999999999999</v>
      </c>
      <c r="M238">
        <v>172.1</v>
      </c>
      <c r="N238">
        <v>114.1</v>
      </c>
      <c r="O238">
        <v>139.30000000000001</v>
      </c>
      <c r="P238">
        <v>126.1</v>
      </c>
      <c r="Q238">
        <v>141.1</v>
      </c>
      <c r="R238">
        <v>137</v>
      </c>
      <c r="S238">
        <v>141.80000000000001</v>
      </c>
      <c r="T238">
        <v>135.5</v>
      </c>
      <c r="U238">
        <v>129.1</v>
      </c>
      <c r="V238">
        <v>134.5</v>
      </c>
      <c r="W238" s="3">
        <v>128.69999999999999</v>
      </c>
      <c r="X238">
        <v>124.3</v>
      </c>
      <c r="Y238">
        <v>128.4</v>
      </c>
      <c r="Z238">
        <v>126.1</v>
      </c>
      <c r="AA238">
        <v>115.2</v>
      </c>
      <c r="AB238">
        <v>123.5</v>
      </c>
      <c r="AC238">
        <v>132.4</v>
      </c>
      <c r="AD238">
        <v>122.1</v>
      </c>
      <c r="AE238">
        <v>123.4</v>
      </c>
      <c r="AF238">
        <v>131.4</v>
      </c>
      <c r="AG23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39" spans="1:33" hidden="1" x14ac:dyDescent="0.3">
      <c r="A239" t="s">
        <v>30</v>
      </c>
      <c r="B239">
        <v>2019</v>
      </c>
      <c r="C239" t="s">
        <v>41</v>
      </c>
      <c r="D239" s="10">
        <f>DATE(All_India_Index_Upto_April23__13[[#This Row],[Year]],All_India_Index_Upto_April23__13[[#This Row],[Month Number]],1)</f>
        <v>43709</v>
      </c>
      <c r="E239" s="2" t="str">
        <f>IF(All_India_Index_Upto_April23__13[[#This Row],[Date]]&lt;DATE(2020, 3, 1),"Pre-COVID","Post-COVID")</f>
        <v>Pre-COVID</v>
      </c>
      <c r="F239">
        <v>140.1</v>
      </c>
      <c r="G239">
        <v>161.9</v>
      </c>
      <c r="H239">
        <v>138.30000000000001</v>
      </c>
      <c r="I239">
        <v>145.69999999999999</v>
      </c>
      <c r="J239">
        <v>125.1</v>
      </c>
      <c r="K239">
        <v>143.80000000000001</v>
      </c>
      <c r="L239">
        <v>163.4</v>
      </c>
      <c r="M239">
        <v>132.19999999999999</v>
      </c>
      <c r="N239">
        <v>112.8</v>
      </c>
      <c r="O239">
        <v>144.19999999999999</v>
      </c>
      <c r="P239">
        <v>138.5</v>
      </c>
      <c r="Q239">
        <v>157.19999999999999</v>
      </c>
      <c r="R239">
        <v>145.5</v>
      </c>
      <c r="S239">
        <v>165.7</v>
      </c>
      <c r="T239">
        <v>151.69999999999999</v>
      </c>
      <c r="U239">
        <v>146.6</v>
      </c>
      <c r="V239">
        <v>151</v>
      </c>
      <c r="W239" s="3">
        <v>141</v>
      </c>
      <c r="X239">
        <v>146.9</v>
      </c>
      <c r="Y239">
        <v>150.30000000000001</v>
      </c>
      <c r="Z239">
        <v>153.4</v>
      </c>
      <c r="AA239">
        <v>131.6</v>
      </c>
      <c r="AB239">
        <v>148.30000000000001</v>
      </c>
      <c r="AC239">
        <v>160.19999999999999</v>
      </c>
      <c r="AD239">
        <v>140.19999999999999</v>
      </c>
      <c r="AE239">
        <v>145.4</v>
      </c>
      <c r="AF239">
        <v>146.69999999999999</v>
      </c>
      <c r="AG23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40" spans="1:33" hidden="1" x14ac:dyDescent="0.3">
      <c r="A240" t="s">
        <v>32</v>
      </c>
      <c r="B240">
        <v>2019</v>
      </c>
      <c r="C240" t="s">
        <v>41</v>
      </c>
      <c r="D240" s="10">
        <f>DATE(All_India_Index_Upto_April23__13[[#This Row],[Year]],All_India_Index_Upto_April23__13[[#This Row],[Month Number]],1)</f>
        <v>43709</v>
      </c>
      <c r="E240" s="2" t="str">
        <f>IF(All_India_Index_Upto_April23__13[[#This Row],[Date]]&lt;DATE(2020, 3, 1),"Pre-COVID","Post-COVID")</f>
        <v>Pre-COVID</v>
      </c>
      <c r="F240">
        <v>142.69999999999999</v>
      </c>
      <c r="G240">
        <v>158.69999999999999</v>
      </c>
      <c r="H240">
        <v>141.6</v>
      </c>
      <c r="I240">
        <v>144.9</v>
      </c>
      <c r="J240">
        <v>120.8</v>
      </c>
      <c r="K240">
        <v>149.80000000000001</v>
      </c>
      <c r="L240">
        <v>192.4</v>
      </c>
      <c r="M240">
        <v>130.30000000000001</v>
      </c>
      <c r="N240">
        <v>114</v>
      </c>
      <c r="O240">
        <v>143.80000000000001</v>
      </c>
      <c r="P240">
        <v>130</v>
      </c>
      <c r="Q240">
        <v>156.4</v>
      </c>
      <c r="R240">
        <v>149.5</v>
      </c>
      <c r="S240">
        <v>168.6</v>
      </c>
      <c r="T240">
        <v>145.30000000000001</v>
      </c>
      <c r="U240">
        <v>132.19999999999999</v>
      </c>
      <c r="V240">
        <v>143.30000000000001</v>
      </c>
      <c r="W240" s="3">
        <v>152.19999999999999</v>
      </c>
      <c r="X240">
        <v>126.6</v>
      </c>
      <c r="Y240">
        <v>138.30000000000001</v>
      </c>
      <c r="Z240">
        <v>141.9</v>
      </c>
      <c r="AA240">
        <v>121.2</v>
      </c>
      <c r="AB240">
        <v>135.9</v>
      </c>
      <c r="AC240">
        <v>151.6</v>
      </c>
      <c r="AD240">
        <v>139</v>
      </c>
      <c r="AE240">
        <v>135.69999999999999</v>
      </c>
      <c r="AF240">
        <v>144.69999999999999</v>
      </c>
      <c r="AG24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41" spans="1:33" x14ac:dyDescent="0.3">
      <c r="A241" t="s">
        <v>33</v>
      </c>
      <c r="B241">
        <v>2016</v>
      </c>
      <c r="C241" t="s">
        <v>41</v>
      </c>
      <c r="D241" s="10">
        <f>DATE(All_India_Index_Upto_April23__13[[#This Row],[Year]],All_India_Index_Upto_April23__13[[#This Row],[Month Number]],1)</f>
        <v>42614</v>
      </c>
      <c r="E241" s="2" t="str">
        <f>IF(All_India_Index_Upto_April23__13[[#This Row],[Date]]&lt;DATE(2020, 3, 1),"Pre-COVID","Post-COVID")</f>
        <v>Pre-COVID</v>
      </c>
      <c r="F241">
        <v>129.9</v>
      </c>
      <c r="G241">
        <v>138</v>
      </c>
      <c r="H241">
        <v>130.5</v>
      </c>
      <c r="I241">
        <v>134.4</v>
      </c>
      <c r="J241">
        <v>117.2</v>
      </c>
      <c r="K241">
        <v>136.1</v>
      </c>
      <c r="L241">
        <v>150.69999999999999</v>
      </c>
      <c r="M241">
        <v>171.5</v>
      </c>
      <c r="N241">
        <v>113.8</v>
      </c>
      <c r="O241">
        <v>138.80000000000001</v>
      </c>
      <c r="P241">
        <v>126</v>
      </c>
      <c r="Q241">
        <v>140.19999999999999</v>
      </c>
      <c r="R241">
        <v>136.6</v>
      </c>
      <c r="S241">
        <v>141</v>
      </c>
      <c r="T241">
        <v>134.6</v>
      </c>
      <c r="U241">
        <v>128.6</v>
      </c>
      <c r="V241">
        <v>133.80000000000001</v>
      </c>
      <c r="W241" s="3">
        <v>127.9</v>
      </c>
      <c r="X241">
        <v>124.1</v>
      </c>
      <c r="Y241">
        <v>127.9</v>
      </c>
      <c r="Z241">
        <v>125.4</v>
      </c>
      <c r="AA241">
        <v>114.3</v>
      </c>
      <c r="AB241">
        <v>122.9</v>
      </c>
      <c r="AC241">
        <v>131.80000000000001</v>
      </c>
      <c r="AD241">
        <v>122.1</v>
      </c>
      <c r="AE241">
        <v>122.8</v>
      </c>
      <c r="AF241">
        <v>130.9</v>
      </c>
      <c r="AG24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42" spans="1:33" hidden="1" x14ac:dyDescent="0.3">
      <c r="A242" t="s">
        <v>30</v>
      </c>
      <c r="B242">
        <v>2019</v>
      </c>
      <c r="C242" t="s">
        <v>42</v>
      </c>
      <c r="D242" s="10">
        <f>DATE(All_India_Index_Upto_April23__13[[#This Row],[Year]],All_India_Index_Upto_April23__13[[#This Row],[Month Number]],1)</f>
        <v>43739</v>
      </c>
      <c r="E242" s="2" t="str">
        <f>IF(All_India_Index_Upto_April23__13[[#This Row],[Date]]&lt;DATE(2020, 3, 1),"Pre-COVID","Post-COVID")</f>
        <v>Pre-COVID</v>
      </c>
      <c r="F242">
        <v>141</v>
      </c>
      <c r="G242">
        <v>161.6</v>
      </c>
      <c r="H242">
        <v>141.19999999999999</v>
      </c>
      <c r="I242">
        <v>146.5</v>
      </c>
      <c r="J242">
        <v>125.6</v>
      </c>
      <c r="K242">
        <v>145.69999999999999</v>
      </c>
      <c r="L242">
        <v>178.8</v>
      </c>
      <c r="M242">
        <v>133.1</v>
      </c>
      <c r="N242">
        <v>113.6</v>
      </c>
      <c r="O242">
        <v>145.5</v>
      </c>
      <c r="P242">
        <v>138.6</v>
      </c>
      <c r="Q242">
        <v>157.4</v>
      </c>
      <c r="R242">
        <v>148.30000000000001</v>
      </c>
      <c r="S242">
        <v>166.3</v>
      </c>
      <c r="T242">
        <v>151.69999999999999</v>
      </c>
      <c r="U242">
        <v>146.69999999999999</v>
      </c>
      <c r="V242">
        <v>151</v>
      </c>
      <c r="W242" s="3">
        <v>141</v>
      </c>
      <c r="X242">
        <v>147.69999999999999</v>
      </c>
      <c r="Y242">
        <v>150.6</v>
      </c>
      <c r="Z242">
        <v>153.69999999999999</v>
      </c>
      <c r="AA242">
        <v>131.69999999999999</v>
      </c>
      <c r="AB242">
        <v>148.69999999999999</v>
      </c>
      <c r="AC242">
        <v>160.69999999999999</v>
      </c>
      <c r="AD242">
        <v>140.30000000000001</v>
      </c>
      <c r="AE242">
        <v>145.69999999999999</v>
      </c>
      <c r="AF242">
        <v>148.30000000000001</v>
      </c>
      <c r="AG24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43" spans="1:33" hidden="1" x14ac:dyDescent="0.3">
      <c r="A243" t="s">
        <v>32</v>
      </c>
      <c r="B243">
        <v>2019</v>
      </c>
      <c r="C243" t="s">
        <v>42</v>
      </c>
      <c r="D243" s="10">
        <f>DATE(All_India_Index_Upto_April23__13[[#This Row],[Year]],All_India_Index_Upto_April23__13[[#This Row],[Month Number]],1)</f>
        <v>43739</v>
      </c>
      <c r="E243" s="2" t="str">
        <f>IF(All_India_Index_Upto_April23__13[[#This Row],[Date]]&lt;DATE(2020, 3, 1),"Pre-COVID","Post-COVID")</f>
        <v>Pre-COVID</v>
      </c>
      <c r="F243">
        <v>143.5</v>
      </c>
      <c r="G243">
        <v>159.80000000000001</v>
      </c>
      <c r="H243">
        <v>144.69999999999999</v>
      </c>
      <c r="I243">
        <v>145.6</v>
      </c>
      <c r="J243">
        <v>121.1</v>
      </c>
      <c r="K243">
        <v>150.6</v>
      </c>
      <c r="L243">
        <v>207.2</v>
      </c>
      <c r="M243">
        <v>131.19999999999999</v>
      </c>
      <c r="N243">
        <v>114.8</v>
      </c>
      <c r="O243">
        <v>145.19999999999999</v>
      </c>
      <c r="P243">
        <v>130.19999999999999</v>
      </c>
      <c r="Q243">
        <v>156.80000000000001</v>
      </c>
      <c r="R243">
        <v>151.9</v>
      </c>
      <c r="S243">
        <v>169.3</v>
      </c>
      <c r="T243">
        <v>145.9</v>
      </c>
      <c r="U243">
        <v>132.4</v>
      </c>
      <c r="V243">
        <v>143.9</v>
      </c>
      <c r="W243" s="3">
        <v>153</v>
      </c>
      <c r="X243">
        <v>128.9</v>
      </c>
      <c r="Y243">
        <v>138.69999999999999</v>
      </c>
      <c r="Z243">
        <v>142.4</v>
      </c>
      <c r="AA243">
        <v>121.5</v>
      </c>
      <c r="AB243">
        <v>136.19999999999999</v>
      </c>
      <c r="AC243">
        <v>151.69999999999999</v>
      </c>
      <c r="AD243">
        <v>139.5</v>
      </c>
      <c r="AE243">
        <v>136</v>
      </c>
      <c r="AF243">
        <v>146</v>
      </c>
      <c r="AG24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44" spans="1:33" x14ac:dyDescent="0.3">
      <c r="A244" t="s">
        <v>33</v>
      </c>
      <c r="B244">
        <v>2016</v>
      </c>
      <c r="C244" t="s">
        <v>40</v>
      </c>
      <c r="D244" s="10">
        <f>DATE(All_India_Index_Upto_April23__13[[#This Row],[Year]],All_India_Index_Upto_April23__13[[#This Row],[Month Number]],1)</f>
        <v>42583</v>
      </c>
      <c r="E244" s="2" t="str">
        <f>IF(All_India_Index_Upto_April23__13[[#This Row],[Date]]&lt;DATE(2020, 3, 1),"Pre-COVID","Post-COVID")</f>
        <v>Pre-COVID</v>
      </c>
      <c r="F244">
        <v>129.30000000000001</v>
      </c>
      <c r="G244">
        <v>139.30000000000001</v>
      </c>
      <c r="H244">
        <v>131.6</v>
      </c>
      <c r="I244">
        <v>134.1</v>
      </c>
      <c r="J244">
        <v>116.9</v>
      </c>
      <c r="K244">
        <v>138.1</v>
      </c>
      <c r="L244">
        <v>159.1</v>
      </c>
      <c r="M244">
        <v>175.6</v>
      </c>
      <c r="N244">
        <v>112.9</v>
      </c>
      <c r="O244">
        <v>138.1</v>
      </c>
      <c r="P244">
        <v>125.5</v>
      </c>
      <c r="Q244">
        <v>139.5</v>
      </c>
      <c r="R244">
        <v>137.9</v>
      </c>
      <c r="S244">
        <v>140.19999999999999</v>
      </c>
      <c r="T244">
        <v>134.1</v>
      </c>
      <c r="U244">
        <v>128.19999999999999</v>
      </c>
      <c r="V244">
        <v>133.19999999999999</v>
      </c>
      <c r="W244" s="3">
        <v>127.3</v>
      </c>
      <c r="X244">
        <v>123.6</v>
      </c>
      <c r="Y244">
        <v>127.4</v>
      </c>
      <c r="Z244">
        <v>124.8</v>
      </c>
      <c r="AA244">
        <v>113.1</v>
      </c>
      <c r="AB244">
        <v>122.7</v>
      </c>
      <c r="AC244">
        <v>131.69999999999999</v>
      </c>
      <c r="AD244">
        <v>121.5</v>
      </c>
      <c r="AE244">
        <v>122.1</v>
      </c>
      <c r="AF244">
        <v>131.1</v>
      </c>
      <c r="AG24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45" spans="1:33" hidden="1" x14ac:dyDescent="0.3">
      <c r="A245" t="s">
        <v>30</v>
      </c>
      <c r="B245">
        <v>2019</v>
      </c>
      <c r="C245" t="s">
        <v>43</v>
      </c>
      <c r="D245" s="10">
        <f>DATE(All_India_Index_Upto_April23__13[[#This Row],[Year]],All_India_Index_Upto_April23__13[[#This Row],[Month Number]],1)</f>
        <v>43770</v>
      </c>
      <c r="E245" s="2" t="str">
        <f>IF(All_India_Index_Upto_April23__13[[#This Row],[Date]]&lt;DATE(2020, 3, 1),"Pre-COVID","Post-COVID")</f>
        <v>Pre-COVID</v>
      </c>
      <c r="F245">
        <v>141.80000000000001</v>
      </c>
      <c r="G245">
        <v>163.69999999999999</v>
      </c>
      <c r="H245">
        <v>143.80000000000001</v>
      </c>
      <c r="I245">
        <v>147.1</v>
      </c>
      <c r="J245">
        <v>126</v>
      </c>
      <c r="K245">
        <v>146.19999999999999</v>
      </c>
      <c r="L245">
        <v>191.4</v>
      </c>
      <c r="M245">
        <v>136.19999999999999</v>
      </c>
      <c r="N245">
        <v>113.8</v>
      </c>
      <c r="O245">
        <v>147.30000000000001</v>
      </c>
      <c r="P245">
        <v>138.69999999999999</v>
      </c>
      <c r="Q245">
        <v>157.69999999999999</v>
      </c>
      <c r="R245">
        <v>150.9</v>
      </c>
      <c r="S245">
        <v>167.2</v>
      </c>
      <c r="T245">
        <v>152.30000000000001</v>
      </c>
      <c r="U245">
        <v>147</v>
      </c>
      <c r="V245">
        <v>151.5</v>
      </c>
      <c r="W245" s="3">
        <v>141</v>
      </c>
      <c r="X245">
        <v>148.4</v>
      </c>
      <c r="Y245">
        <v>150.9</v>
      </c>
      <c r="Z245">
        <v>154.30000000000001</v>
      </c>
      <c r="AA245">
        <v>132.1</v>
      </c>
      <c r="AB245">
        <v>149.1</v>
      </c>
      <c r="AC245">
        <v>160.80000000000001</v>
      </c>
      <c r="AD245">
        <v>140.6</v>
      </c>
      <c r="AE245">
        <v>146.1</v>
      </c>
      <c r="AF245">
        <v>149.9</v>
      </c>
      <c r="AG24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46" spans="1:33" hidden="1" x14ac:dyDescent="0.3">
      <c r="A246" t="s">
        <v>32</v>
      </c>
      <c r="B246">
        <v>2019</v>
      </c>
      <c r="C246" t="s">
        <v>43</v>
      </c>
      <c r="D246" s="10">
        <f>DATE(All_India_Index_Upto_April23__13[[#This Row],[Year]],All_India_Index_Upto_April23__13[[#This Row],[Month Number]],1)</f>
        <v>43770</v>
      </c>
      <c r="E246" s="2" t="str">
        <f>IF(All_India_Index_Upto_April23__13[[#This Row],[Date]]&lt;DATE(2020, 3, 1),"Pre-COVID","Post-COVID")</f>
        <v>Pre-COVID</v>
      </c>
      <c r="F246">
        <v>144.1</v>
      </c>
      <c r="G246">
        <v>162.4</v>
      </c>
      <c r="H246">
        <v>148.4</v>
      </c>
      <c r="I246">
        <v>145.9</v>
      </c>
      <c r="J246">
        <v>121.5</v>
      </c>
      <c r="K246">
        <v>148.80000000000001</v>
      </c>
      <c r="L246">
        <v>215.7</v>
      </c>
      <c r="M246">
        <v>134.6</v>
      </c>
      <c r="N246">
        <v>115</v>
      </c>
      <c r="O246">
        <v>146.30000000000001</v>
      </c>
      <c r="P246">
        <v>130.5</v>
      </c>
      <c r="Q246">
        <v>157.19999999999999</v>
      </c>
      <c r="R246">
        <v>153.6</v>
      </c>
      <c r="S246">
        <v>169.9</v>
      </c>
      <c r="T246">
        <v>146.30000000000001</v>
      </c>
      <c r="U246">
        <v>132.6</v>
      </c>
      <c r="V246">
        <v>144.19999999999999</v>
      </c>
      <c r="W246" s="3">
        <v>153.5</v>
      </c>
      <c r="X246">
        <v>132.19999999999999</v>
      </c>
      <c r="Y246">
        <v>139.1</v>
      </c>
      <c r="Z246">
        <v>142.80000000000001</v>
      </c>
      <c r="AA246">
        <v>121.7</v>
      </c>
      <c r="AB246">
        <v>136.69999999999999</v>
      </c>
      <c r="AC246">
        <v>151.80000000000001</v>
      </c>
      <c r="AD246">
        <v>139.80000000000001</v>
      </c>
      <c r="AE246">
        <v>136.30000000000001</v>
      </c>
      <c r="AF246">
        <v>147</v>
      </c>
      <c r="AG24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47" spans="1:33" x14ac:dyDescent="0.3">
      <c r="A247" t="s">
        <v>33</v>
      </c>
      <c r="B247">
        <v>2016</v>
      </c>
      <c r="C247" t="s">
        <v>39</v>
      </c>
      <c r="D247" s="10">
        <f>DATE(All_India_Index_Upto_April23__13[[#This Row],[Year]],All_India_Index_Upto_April23__13[[#This Row],[Month Number]],1)</f>
        <v>42552</v>
      </c>
      <c r="E247" s="2" t="str">
        <f>IF(All_India_Index_Upto_April23__13[[#This Row],[Date]]&lt;DATE(2020, 3, 1),"Pre-COVID","Post-COVID")</f>
        <v>Pre-COVID</v>
      </c>
      <c r="F247">
        <v>128.5</v>
      </c>
      <c r="G247">
        <v>141.19999999999999</v>
      </c>
      <c r="H247">
        <v>132.30000000000001</v>
      </c>
      <c r="I247">
        <v>133.5</v>
      </c>
      <c r="J247">
        <v>116.4</v>
      </c>
      <c r="K247">
        <v>137.80000000000001</v>
      </c>
      <c r="L247">
        <v>165.4</v>
      </c>
      <c r="M247">
        <v>177.4</v>
      </c>
      <c r="N247">
        <v>111.3</v>
      </c>
      <c r="O247">
        <v>137.5</v>
      </c>
      <c r="P247">
        <v>125</v>
      </c>
      <c r="Q247">
        <v>138.80000000000001</v>
      </c>
      <c r="R247">
        <v>138.4</v>
      </c>
      <c r="S247">
        <v>139.30000000000001</v>
      </c>
      <c r="T247">
        <v>133.5</v>
      </c>
      <c r="U247">
        <v>127.6</v>
      </c>
      <c r="V247">
        <v>132.69999999999999</v>
      </c>
      <c r="W247" s="3">
        <v>126.4</v>
      </c>
      <c r="X247">
        <v>123.4</v>
      </c>
      <c r="Y247">
        <v>126.9</v>
      </c>
      <c r="Z247">
        <v>124.5</v>
      </c>
      <c r="AA247">
        <v>113.9</v>
      </c>
      <c r="AB247">
        <v>122.4</v>
      </c>
      <c r="AC247">
        <v>130.80000000000001</v>
      </c>
      <c r="AD247">
        <v>120.5</v>
      </c>
      <c r="AE247">
        <v>121.9</v>
      </c>
      <c r="AF247">
        <v>131.1</v>
      </c>
      <c r="AG24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48" spans="1:33" hidden="1" x14ac:dyDescent="0.3">
      <c r="A248" t="s">
        <v>30</v>
      </c>
      <c r="B248">
        <v>2019</v>
      </c>
      <c r="C248" t="s">
        <v>44</v>
      </c>
      <c r="D248" s="10">
        <f>DATE(All_India_Index_Upto_April23__13[[#This Row],[Year]],All_India_Index_Upto_April23__13[[#This Row],[Month Number]],1)</f>
        <v>43800</v>
      </c>
      <c r="E248" s="2" t="str">
        <f>IF(All_India_Index_Upto_April23__13[[#This Row],[Date]]&lt;DATE(2020, 3, 1),"Pre-COVID","Post-COVID")</f>
        <v>Pre-COVID</v>
      </c>
      <c r="F248">
        <v>142.80000000000001</v>
      </c>
      <c r="G248">
        <v>165.3</v>
      </c>
      <c r="H248">
        <v>149.5</v>
      </c>
      <c r="I248">
        <v>148.69999999999999</v>
      </c>
      <c r="J248">
        <v>127.5</v>
      </c>
      <c r="K248">
        <v>144.30000000000001</v>
      </c>
      <c r="L248">
        <v>209.5</v>
      </c>
      <c r="M248">
        <v>138.80000000000001</v>
      </c>
      <c r="N248">
        <v>113.6</v>
      </c>
      <c r="O248">
        <v>149.1</v>
      </c>
      <c r="P248">
        <v>139.30000000000001</v>
      </c>
      <c r="Q248">
        <v>158.30000000000001</v>
      </c>
      <c r="R248">
        <v>154.30000000000001</v>
      </c>
      <c r="S248">
        <v>167.8</v>
      </c>
      <c r="T248">
        <v>152.6</v>
      </c>
      <c r="U248">
        <v>147.30000000000001</v>
      </c>
      <c r="V248">
        <v>151.9</v>
      </c>
      <c r="W248" s="3">
        <v>141</v>
      </c>
      <c r="X248">
        <v>149.9</v>
      </c>
      <c r="Y248">
        <v>151.19999999999999</v>
      </c>
      <c r="Z248">
        <v>154.80000000000001</v>
      </c>
      <c r="AA248">
        <v>135</v>
      </c>
      <c r="AB248">
        <v>149.5</v>
      </c>
      <c r="AC248">
        <v>161.1</v>
      </c>
      <c r="AD248">
        <v>140.6</v>
      </c>
      <c r="AE248">
        <v>147.1</v>
      </c>
      <c r="AF248">
        <v>152.30000000000001</v>
      </c>
      <c r="AG24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49" spans="1:33" hidden="1" x14ac:dyDescent="0.3">
      <c r="A249" t="s">
        <v>32</v>
      </c>
      <c r="B249">
        <v>2019</v>
      </c>
      <c r="C249" t="s">
        <v>44</v>
      </c>
      <c r="D249" s="10">
        <f>DATE(All_India_Index_Upto_April23__13[[#This Row],[Year]],All_India_Index_Upto_April23__13[[#This Row],[Month Number]],1)</f>
        <v>43800</v>
      </c>
      <c r="E249" s="2" t="str">
        <f>IF(All_India_Index_Upto_April23__13[[#This Row],[Date]]&lt;DATE(2020, 3, 1),"Pre-COVID","Post-COVID")</f>
        <v>Pre-COVID</v>
      </c>
      <c r="F249">
        <v>144.9</v>
      </c>
      <c r="G249">
        <v>164.5</v>
      </c>
      <c r="H249">
        <v>153.69999999999999</v>
      </c>
      <c r="I249">
        <v>147.5</v>
      </c>
      <c r="J249">
        <v>122.7</v>
      </c>
      <c r="K249">
        <v>147.19999999999999</v>
      </c>
      <c r="L249">
        <v>231.5</v>
      </c>
      <c r="M249">
        <v>137.19999999999999</v>
      </c>
      <c r="N249">
        <v>114.7</v>
      </c>
      <c r="O249">
        <v>148</v>
      </c>
      <c r="P249">
        <v>130.80000000000001</v>
      </c>
      <c r="Q249">
        <v>157.69999999999999</v>
      </c>
      <c r="R249">
        <v>156.30000000000001</v>
      </c>
      <c r="S249">
        <v>170.4</v>
      </c>
      <c r="T249">
        <v>146.80000000000001</v>
      </c>
      <c r="U249">
        <v>132.80000000000001</v>
      </c>
      <c r="V249">
        <v>144.6</v>
      </c>
      <c r="W249" s="3">
        <v>152.80000000000001</v>
      </c>
      <c r="X249">
        <v>133.6</v>
      </c>
      <c r="Y249">
        <v>139.80000000000001</v>
      </c>
      <c r="Z249">
        <v>143.19999999999999</v>
      </c>
      <c r="AA249">
        <v>125.2</v>
      </c>
      <c r="AB249">
        <v>136.80000000000001</v>
      </c>
      <c r="AC249">
        <v>151.9</v>
      </c>
      <c r="AD249">
        <v>140.19999999999999</v>
      </c>
      <c r="AE249">
        <v>137.69999999999999</v>
      </c>
      <c r="AF249">
        <v>148.30000000000001</v>
      </c>
      <c r="AG24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50" spans="1:33" x14ac:dyDescent="0.3">
      <c r="A250" t="s">
        <v>33</v>
      </c>
      <c r="B250">
        <v>2016</v>
      </c>
      <c r="C250" t="s">
        <v>38</v>
      </c>
      <c r="D250" s="10">
        <f>DATE(All_India_Index_Upto_April23__13[[#This Row],[Year]],All_India_Index_Upto_April23__13[[#This Row],[Month Number]],1)</f>
        <v>42522</v>
      </c>
      <c r="E250" s="2" t="str">
        <f>IF(All_India_Index_Upto_April23__13[[#This Row],[Date]]&lt;DATE(2020, 3, 1),"Pre-COVID","Post-COVID")</f>
        <v>Pre-COVID</v>
      </c>
      <c r="F250">
        <v>127.7</v>
      </c>
      <c r="G250">
        <v>140.5</v>
      </c>
      <c r="H250">
        <v>128.30000000000001</v>
      </c>
      <c r="I250">
        <v>132.6</v>
      </c>
      <c r="J250">
        <v>115.5</v>
      </c>
      <c r="K250">
        <v>136.5</v>
      </c>
      <c r="L250">
        <v>159.69999999999999</v>
      </c>
      <c r="M250">
        <v>174.3</v>
      </c>
      <c r="N250">
        <v>109.9</v>
      </c>
      <c r="O250">
        <v>136.30000000000001</v>
      </c>
      <c r="P250">
        <v>124.4</v>
      </c>
      <c r="Q250">
        <v>138.1</v>
      </c>
      <c r="R250">
        <v>136.80000000000001</v>
      </c>
      <c r="S250">
        <v>138.69999999999999</v>
      </c>
      <c r="T250">
        <v>132.9</v>
      </c>
      <c r="U250">
        <v>127.2</v>
      </c>
      <c r="V250">
        <v>132</v>
      </c>
      <c r="W250" s="3">
        <v>125.5</v>
      </c>
      <c r="X250">
        <v>123.3</v>
      </c>
      <c r="Y250">
        <v>126.4</v>
      </c>
      <c r="Z250">
        <v>124.1</v>
      </c>
      <c r="AA250">
        <v>114.2</v>
      </c>
      <c r="AB250">
        <v>121.7</v>
      </c>
      <c r="AC250">
        <v>129.69999999999999</v>
      </c>
      <c r="AD250">
        <v>119.4</v>
      </c>
      <c r="AE250">
        <v>121.5</v>
      </c>
      <c r="AF250">
        <v>130.1</v>
      </c>
      <c r="AG25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51" spans="1:33" hidden="1" x14ac:dyDescent="0.3">
      <c r="A251" t="s">
        <v>30</v>
      </c>
      <c r="B251">
        <v>2020</v>
      </c>
      <c r="C251" t="s">
        <v>31</v>
      </c>
      <c r="D251" s="10">
        <f>DATE(All_India_Index_Upto_April23__13[[#This Row],[Year]],All_India_Index_Upto_April23__13[[#This Row],[Month Number]],1)</f>
        <v>43831</v>
      </c>
      <c r="E251" s="2" t="str">
        <f>IF(All_India_Index_Upto_April23__13[[#This Row],[Date]]&lt;DATE(2020, 3, 1),"Pre-COVID","Post-COVID")</f>
        <v>Pre-COVID</v>
      </c>
      <c r="F251">
        <v>143.69999999999999</v>
      </c>
      <c r="G251">
        <v>167.3</v>
      </c>
      <c r="H251">
        <v>153.5</v>
      </c>
      <c r="I251">
        <v>150.5</v>
      </c>
      <c r="J251">
        <v>132</v>
      </c>
      <c r="K251">
        <v>142.19999999999999</v>
      </c>
      <c r="L251">
        <v>191.5</v>
      </c>
      <c r="M251">
        <v>141.1</v>
      </c>
      <c r="N251">
        <v>113.8</v>
      </c>
      <c r="O251">
        <v>151.6</v>
      </c>
      <c r="P251">
        <v>139.69999999999999</v>
      </c>
      <c r="Q251">
        <v>158.69999999999999</v>
      </c>
      <c r="R251">
        <v>153</v>
      </c>
      <c r="S251">
        <v>168.6</v>
      </c>
      <c r="T251">
        <v>152.80000000000001</v>
      </c>
      <c r="U251">
        <v>147.4</v>
      </c>
      <c r="V251">
        <v>152.1</v>
      </c>
      <c r="W251" s="3">
        <v>141</v>
      </c>
      <c r="X251">
        <v>150.4</v>
      </c>
      <c r="Y251">
        <v>151.69999999999999</v>
      </c>
      <c r="Z251">
        <v>155.69999999999999</v>
      </c>
      <c r="AA251">
        <v>136.30000000000001</v>
      </c>
      <c r="AB251">
        <v>150.1</v>
      </c>
      <c r="AC251">
        <v>161.69999999999999</v>
      </c>
      <c r="AD251">
        <v>142.5</v>
      </c>
      <c r="AE251">
        <v>148.1</v>
      </c>
      <c r="AF251">
        <v>151.9</v>
      </c>
      <c r="AG25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52" spans="1:33" hidden="1" x14ac:dyDescent="0.3">
      <c r="A252" t="s">
        <v>32</v>
      </c>
      <c r="B252">
        <v>2020</v>
      </c>
      <c r="C252" t="s">
        <v>31</v>
      </c>
      <c r="D252" s="10">
        <f>DATE(All_India_Index_Upto_April23__13[[#This Row],[Year]],All_India_Index_Upto_April23__13[[#This Row],[Month Number]],1)</f>
        <v>43831</v>
      </c>
      <c r="E252" s="2" t="str">
        <f>IF(All_India_Index_Upto_April23__13[[#This Row],[Date]]&lt;DATE(2020, 3, 1),"Pre-COVID","Post-COVID")</f>
        <v>Pre-COVID</v>
      </c>
      <c r="F252">
        <v>145.6</v>
      </c>
      <c r="G252">
        <v>167.6</v>
      </c>
      <c r="H252">
        <v>157</v>
      </c>
      <c r="I252">
        <v>149.30000000000001</v>
      </c>
      <c r="J252">
        <v>126.3</v>
      </c>
      <c r="K252">
        <v>144.4</v>
      </c>
      <c r="L252">
        <v>207.8</v>
      </c>
      <c r="M252">
        <v>139.1</v>
      </c>
      <c r="N252">
        <v>114.8</v>
      </c>
      <c r="O252">
        <v>149.5</v>
      </c>
      <c r="P252">
        <v>131.1</v>
      </c>
      <c r="Q252">
        <v>158.5</v>
      </c>
      <c r="R252">
        <v>154.4</v>
      </c>
      <c r="S252">
        <v>170.8</v>
      </c>
      <c r="T252">
        <v>147</v>
      </c>
      <c r="U252">
        <v>133.19999999999999</v>
      </c>
      <c r="V252">
        <v>144.9</v>
      </c>
      <c r="W252" s="3">
        <v>153.9</v>
      </c>
      <c r="X252">
        <v>135.1</v>
      </c>
      <c r="Y252">
        <v>140.1</v>
      </c>
      <c r="Z252">
        <v>143.80000000000001</v>
      </c>
      <c r="AA252">
        <v>126.1</v>
      </c>
      <c r="AB252">
        <v>137.19999999999999</v>
      </c>
      <c r="AC252">
        <v>152.1</v>
      </c>
      <c r="AD252">
        <v>142.1</v>
      </c>
      <c r="AE252">
        <v>138.4</v>
      </c>
      <c r="AF252">
        <v>148.19999999999999</v>
      </c>
      <c r="AG25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53" spans="1:33" x14ac:dyDescent="0.3">
      <c r="A253" t="s">
        <v>33</v>
      </c>
      <c r="B253">
        <v>2016</v>
      </c>
      <c r="C253" t="s">
        <v>37</v>
      </c>
      <c r="D253" s="10">
        <f>DATE(All_India_Index_Upto_April23__13[[#This Row],[Year]],All_India_Index_Upto_April23__13[[#This Row],[Month Number]],1)</f>
        <v>42491</v>
      </c>
      <c r="E253" s="2" t="str">
        <f>IF(All_India_Index_Upto_April23__13[[#This Row],[Date]]&lt;DATE(2020, 3, 1),"Pre-COVID","Post-COVID")</f>
        <v>Pre-COVID</v>
      </c>
      <c r="F253">
        <v>126.8</v>
      </c>
      <c r="G253">
        <v>139.1</v>
      </c>
      <c r="H253">
        <v>125.4</v>
      </c>
      <c r="I253">
        <v>131.69999999999999</v>
      </c>
      <c r="J253">
        <v>115</v>
      </c>
      <c r="K253">
        <v>136</v>
      </c>
      <c r="L253">
        <v>145.1</v>
      </c>
      <c r="M253">
        <v>171.7</v>
      </c>
      <c r="N253">
        <v>108.7</v>
      </c>
      <c r="O253">
        <v>135.30000000000001</v>
      </c>
      <c r="P253">
        <v>124.2</v>
      </c>
      <c r="Q253">
        <v>137.4</v>
      </c>
      <c r="R253">
        <v>134</v>
      </c>
      <c r="S253">
        <v>137.69999999999999</v>
      </c>
      <c r="T253">
        <v>132.19999999999999</v>
      </c>
      <c r="U253">
        <v>126.8</v>
      </c>
      <c r="V253">
        <v>131.4</v>
      </c>
      <c r="W253" s="3">
        <v>126</v>
      </c>
      <c r="X253">
        <v>122.7</v>
      </c>
      <c r="Y253">
        <v>126</v>
      </c>
      <c r="Z253">
        <v>123.7</v>
      </c>
      <c r="AA253">
        <v>112.8</v>
      </c>
      <c r="AB253">
        <v>121.5</v>
      </c>
      <c r="AC253">
        <v>128.5</v>
      </c>
      <c r="AD253">
        <v>119.2</v>
      </c>
      <c r="AE253">
        <v>120.7</v>
      </c>
      <c r="AF253">
        <v>128.6</v>
      </c>
      <c r="AG25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54" spans="1:33" hidden="1" x14ac:dyDescent="0.3">
      <c r="A254" t="s">
        <v>30</v>
      </c>
      <c r="B254">
        <v>2020</v>
      </c>
      <c r="C254" t="s">
        <v>34</v>
      </c>
      <c r="D254" s="10">
        <f>DATE(All_India_Index_Upto_April23__13[[#This Row],[Year]],All_India_Index_Upto_April23__13[[#This Row],[Month Number]],1)</f>
        <v>43862</v>
      </c>
      <c r="E254" s="2" t="str">
        <f>IF(All_India_Index_Upto_April23__13[[#This Row],[Date]]&lt;DATE(2020, 3, 1),"Pre-COVID","Post-COVID")</f>
        <v>Pre-COVID</v>
      </c>
      <c r="F254">
        <v>144.19999999999999</v>
      </c>
      <c r="G254">
        <v>167.5</v>
      </c>
      <c r="H254">
        <v>150.9</v>
      </c>
      <c r="I254">
        <v>150.9</v>
      </c>
      <c r="J254">
        <v>133.69999999999999</v>
      </c>
      <c r="K254">
        <v>140.69999999999999</v>
      </c>
      <c r="L254">
        <v>165.1</v>
      </c>
      <c r="M254">
        <v>141.80000000000001</v>
      </c>
      <c r="N254">
        <v>113.1</v>
      </c>
      <c r="O254">
        <v>152.80000000000001</v>
      </c>
      <c r="P254">
        <v>140.1</v>
      </c>
      <c r="Q254">
        <v>159.19999999999999</v>
      </c>
      <c r="R254">
        <v>149.80000000000001</v>
      </c>
      <c r="S254">
        <v>169.4</v>
      </c>
      <c r="T254">
        <v>153</v>
      </c>
      <c r="U254">
        <v>147.5</v>
      </c>
      <c r="V254">
        <v>152.30000000000001</v>
      </c>
      <c r="W254" s="3">
        <v>141</v>
      </c>
      <c r="X254">
        <v>152.30000000000001</v>
      </c>
      <c r="Y254">
        <v>151.80000000000001</v>
      </c>
      <c r="Z254">
        <v>156.19999999999999</v>
      </c>
      <c r="AA254">
        <v>136</v>
      </c>
      <c r="AB254">
        <v>150.4</v>
      </c>
      <c r="AC254">
        <v>161.9</v>
      </c>
      <c r="AD254">
        <v>143.4</v>
      </c>
      <c r="AE254">
        <v>148.4</v>
      </c>
      <c r="AF254">
        <v>150.4</v>
      </c>
      <c r="AG25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55" spans="1:33" hidden="1" x14ac:dyDescent="0.3">
      <c r="A255" t="s">
        <v>32</v>
      </c>
      <c r="B255">
        <v>2020</v>
      </c>
      <c r="C255" t="s">
        <v>34</v>
      </c>
      <c r="D255" s="10">
        <f>DATE(All_India_Index_Upto_April23__13[[#This Row],[Year]],All_India_Index_Upto_April23__13[[#This Row],[Month Number]],1)</f>
        <v>43862</v>
      </c>
      <c r="E255" s="2" t="str">
        <f>IF(All_India_Index_Upto_April23__13[[#This Row],[Date]]&lt;DATE(2020, 3, 1),"Pre-COVID","Post-COVID")</f>
        <v>Pre-COVID</v>
      </c>
      <c r="F255">
        <v>146.19999999999999</v>
      </c>
      <c r="G255">
        <v>167.6</v>
      </c>
      <c r="H255">
        <v>153.1</v>
      </c>
      <c r="I255">
        <v>150.69999999999999</v>
      </c>
      <c r="J255">
        <v>127.4</v>
      </c>
      <c r="K255">
        <v>143.1</v>
      </c>
      <c r="L255">
        <v>181.7</v>
      </c>
      <c r="M255">
        <v>139.6</v>
      </c>
      <c r="N255">
        <v>114.6</v>
      </c>
      <c r="O255">
        <v>150.4</v>
      </c>
      <c r="P255">
        <v>131.5</v>
      </c>
      <c r="Q255">
        <v>159</v>
      </c>
      <c r="R255">
        <v>151.69999999999999</v>
      </c>
      <c r="S255">
        <v>172</v>
      </c>
      <c r="T255">
        <v>147.30000000000001</v>
      </c>
      <c r="U255">
        <v>133.5</v>
      </c>
      <c r="V255">
        <v>145.19999999999999</v>
      </c>
      <c r="W255" s="3">
        <v>154.80000000000001</v>
      </c>
      <c r="X255">
        <v>138.9</v>
      </c>
      <c r="Y255">
        <v>140.4</v>
      </c>
      <c r="Z255">
        <v>144.4</v>
      </c>
      <c r="AA255">
        <v>125.2</v>
      </c>
      <c r="AB255">
        <v>137.69999999999999</v>
      </c>
      <c r="AC255">
        <v>152.19999999999999</v>
      </c>
      <c r="AD255">
        <v>143.5</v>
      </c>
      <c r="AE255">
        <v>138.4</v>
      </c>
      <c r="AF255">
        <v>147.69999999999999</v>
      </c>
      <c r="AG25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56" spans="1:33" x14ac:dyDescent="0.3">
      <c r="A256" t="s">
        <v>33</v>
      </c>
      <c r="B256">
        <v>2016</v>
      </c>
      <c r="C256" t="s">
        <v>36</v>
      </c>
      <c r="D256" s="10">
        <f>DATE(All_India_Index_Upto_April23__13[[#This Row],[Year]],All_India_Index_Upto_April23__13[[#This Row],[Month Number]],1)</f>
        <v>42461</v>
      </c>
      <c r="E256" s="2" t="str">
        <f>IF(All_India_Index_Upto_April23__13[[#This Row],[Date]]&lt;DATE(2020, 3, 1),"Pre-COVID","Post-COVID")</f>
        <v>Pre-COVID</v>
      </c>
      <c r="F256">
        <v>126.6</v>
      </c>
      <c r="G256">
        <v>136.80000000000001</v>
      </c>
      <c r="H256">
        <v>122</v>
      </c>
      <c r="I256">
        <v>130.9</v>
      </c>
      <c r="J256">
        <v>114.8</v>
      </c>
      <c r="K256">
        <v>134.80000000000001</v>
      </c>
      <c r="L256">
        <v>135</v>
      </c>
      <c r="M256">
        <v>167.5</v>
      </c>
      <c r="N256">
        <v>106.4</v>
      </c>
      <c r="O256">
        <v>134.4</v>
      </c>
      <c r="P256">
        <v>123.6</v>
      </c>
      <c r="Q256">
        <v>136.69999999999999</v>
      </c>
      <c r="R256">
        <v>131.80000000000001</v>
      </c>
      <c r="S256">
        <v>137.1</v>
      </c>
      <c r="T256">
        <v>131.80000000000001</v>
      </c>
      <c r="U256">
        <v>126.4</v>
      </c>
      <c r="V256">
        <v>131</v>
      </c>
      <c r="W256" s="3">
        <v>125.6</v>
      </c>
      <c r="X256">
        <v>122.3</v>
      </c>
      <c r="Y256">
        <v>125.5</v>
      </c>
      <c r="Z256">
        <v>123.2</v>
      </c>
      <c r="AA256">
        <v>112.1</v>
      </c>
      <c r="AB256">
        <v>121.1</v>
      </c>
      <c r="AC256">
        <v>127.7</v>
      </c>
      <c r="AD256">
        <v>118.1</v>
      </c>
      <c r="AE256">
        <v>120</v>
      </c>
      <c r="AF256">
        <v>127.3</v>
      </c>
      <c r="AG25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57" spans="1:33" hidden="1" x14ac:dyDescent="0.3">
      <c r="A257" t="s">
        <v>30</v>
      </c>
      <c r="B257">
        <v>2020</v>
      </c>
      <c r="C257" t="s">
        <v>35</v>
      </c>
      <c r="D257" s="10">
        <f>DATE(All_India_Index_Upto_April23__13[[#This Row],[Year]],All_India_Index_Upto_April23__13[[#This Row],[Month Number]],1)</f>
        <v>43891</v>
      </c>
      <c r="E257" s="2" t="str">
        <f>IF(All_India_Index_Upto_April23__13[[#This Row],[Date]]&lt;DATE(2020, 3, 1),"Pre-COVID","Post-COVID")</f>
        <v>Post-COVID</v>
      </c>
      <c r="F257">
        <v>144.4</v>
      </c>
      <c r="G257">
        <v>166.8</v>
      </c>
      <c r="H257">
        <v>147.6</v>
      </c>
      <c r="I257">
        <v>151.69999999999999</v>
      </c>
      <c r="J257">
        <v>133.30000000000001</v>
      </c>
      <c r="K257">
        <v>141.80000000000001</v>
      </c>
      <c r="L257">
        <v>152.30000000000001</v>
      </c>
      <c r="M257">
        <v>141.80000000000001</v>
      </c>
      <c r="N257">
        <v>112.6</v>
      </c>
      <c r="O257">
        <v>154</v>
      </c>
      <c r="P257">
        <v>140.1</v>
      </c>
      <c r="Q257">
        <v>160</v>
      </c>
      <c r="R257">
        <v>148.19999999999999</v>
      </c>
      <c r="S257">
        <v>170.5</v>
      </c>
      <c r="T257">
        <v>153.4</v>
      </c>
      <c r="U257">
        <v>147.6</v>
      </c>
      <c r="V257">
        <v>152.5</v>
      </c>
      <c r="W257" s="3">
        <v>141</v>
      </c>
      <c r="X257">
        <v>153.4</v>
      </c>
      <c r="Y257">
        <v>151.5</v>
      </c>
      <c r="Z257">
        <v>156.69999999999999</v>
      </c>
      <c r="AA257">
        <v>135.80000000000001</v>
      </c>
      <c r="AB257">
        <v>151.19999999999999</v>
      </c>
      <c r="AC257">
        <v>161.19999999999999</v>
      </c>
      <c r="AD257">
        <v>145.1</v>
      </c>
      <c r="AE257">
        <v>148.6</v>
      </c>
      <c r="AF257">
        <v>149.80000000000001</v>
      </c>
      <c r="AG25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58" spans="1:33" hidden="1" x14ac:dyDescent="0.3">
      <c r="A258" t="s">
        <v>32</v>
      </c>
      <c r="B258">
        <v>2020</v>
      </c>
      <c r="C258" t="s">
        <v>35</v>
      </c>
      <c r="D258" s="10">
        <f>DATE(All_India_Index_Upto_April23__13[[#This Row],[Year]],All_India_Index_Upto_April23__13[[#This Row],[Month Number]],1)</f>
        <v>43891</v>
      </c>
      <c r="E258" s="2" t="str">
        <f>IF(All_India_Index_Upto_April23__13[[#This Row],[Date]]&lt;DATE(2020, 3, 1),"Pre-COVID","Post-COVID")</f>
        <v>Post-COVID</v>
      </c>
      <c r="F258">
        <v>146.5</v>
      </c>
      <c r="G258">
        <v>167.5</v>
      </c>
      <c r="H258">
        <v>148.9</v>
      </c>
      <c r="I258">
        <v>151.1</v>
      </c>
      <c r="J258">
        <v>127.5</v>
      </c>
      <c r="K258">
        <v>143.30000000000001</v>
      </c>
      <c r="L258">
        <v>167</v>
      </c>
      <c r="M258">
        <v>139.69999999999999</v>
      </c>
      <c r="N258">
        <v>114.4</v>
      </c>
      <c r="O258">
        <v>151.5</v>
      </c>
      <c r="P258">
        <v>131.9</v>
      </c>
      <c r="Q258">
        <v>159.1</v>
      </c>
      <c r="R258">
        <v>150.1</v>
      </c>
      <c r="S258">
        <v>173.3</v>
      </c>
      <c r="T258">
        <v>147.69999999999999</v>
      </c>
      <c r="U258">
        <v>133.80000000000001</v>
      </c>
      <c r="V258">
        <v>145.6</v>
      </c>
      <c r="W258" s="3">
        <v>154.5</v>
      </c>
      <c r="X258">
        <v>141.4</v>
      </c>
      <c r="Y258">
        <v>140.80000000000001</v>
      </c>
      <c r="Z258">
        <v>145</v>
      </c>
      <c r="AA258">
        <v>124.6</v>
      </c>
      <c r="AB258">
        <v>137.9</v>
      </c>
      <c r="AC258">
        <v>152.5</v>
      </c>
      <c r="AD258">
        <v>145.30000000000001</v>
      </c>
      <c r="AE258">
        <v>138.69999999999999</v>
      </c>
      <c r="AF258">
        <v>147.30000000000001</v>
      </c>
      <c r="AG25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59" spans="1:33" x14ac:dyDescent="0.3">
      <c r="A259" t="s">
        <v>33</v>
      </c>
      <c r="B259">
        <v>2016</v>
      </c>
      <c r="C259" t="s">
        <v>35</v>
      </c>
      <c r="D259" s="10">
        <f>DATE(All_India_Index_Upto_April23__13[[#This Row],[Year]],All_India_Index_Upto_April23__13[[#This Row],[Month Number]],1)</f>
        <v>42430</v>
      </c>
      <c r="E259" s="2" t="str">
        <f>IF(All_India_Index_Upto_April23__13[[#This Row],[Date]]&lt;DATE(2020, 3, 1),"Pre-COVID","Post-COVID")</f>
        <v>Pre-COVID</v>
      </c>
      <c r="F259">
        <v>126.5</v>
      </c>
      <c r="G259">
        <v>135.1</v>
      </c>
      <c r="H259">
        <v>124.6</v>
      </c>
      <c r="I259">
        <v>130.19999999999999</v>
      </c>
      <c r="J259">
        <v>114.5</v>
      </c>
      <c r="K259">
        <v>126.2</v>
      </c>
      <c r="L259">
        <v>129.80000000000001</v>
      </c>
      <c r="M259">
        <v>164.3</v>
      </c>
      <c r="N259">
        <v>100.9</v>
      </c>
      <c r="O259">
        <v>133.9</v>
      </c>
      <c r="P259">
        <v>123.1</v>
      </c>
      <c r="Q259">
        <v>136.30000000000001</v>
      </c>
      <c r="R259">
        <v>129.80000000000001</v>
      </c>
      <c r="S259">
        <v>136.5</v>
      </c>
      <c r="T259">
        <v>131.30000000000001</v>
      </c>
      <c r="U259">
        <v>126.1</v>
      </c>
      <c r="V259">
        <v>130.5</v>
      </c>
      <c r="W259" s="3">
        <v>124.9</v>
      </c>
      <c r="X259">
        <v>122.4</v>
      </c>
      <c r="Y259">
        <v>125.1</v>
      </c>
      <c r="Z259">
        <v>122.9</v>
      </c>
      <c r="AA259">
        <v>110.9</v>
      </c>
      <c r="AB259">
        <v>120.6</v>
      </c>
      <c r="AC259">
        <v>126.9</v>
      </c>
      <c r="AD259">
        <v>117.3</v>
      </c>
      <c r="AE259">
        <v>119.3</v>
      </c>
      <c r="AF259">
        <v>126</v>
      </c>
      <c r="AG25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60" spans="1:33" hidden="1" x14ac:dyDescent="0.3">
      <c r="A260" t="s">
        <v>30</v>
      </c>
      <c r="B260">
        <v>2020</v>
      </c>
      <c r="C260" t="s">
        <v>36</v>
      </c>
      <c r="D260" s="10">
        <f>DATE(All_India_Index_Upto_April23__13[[#This Row],[Year]],All_India_Index_Upto_April23__13[[#This Row],[Month Number]],1)</f>
        <v>43922</v>
      </c>
      <c r="E260" s="2" t="str">
        <f>IF(All_India_Index_Upto_April23__13[[#This Row],[Date]]&lt;DATE(2020, 3, 1),"Pre-COVID","Post-COVID")</f>
        <v>Post-COVID</v>
      </c>
      <c r="F260">
        <v>147.19999999999999</v>
      </c>
      <c r="G260" s="8">
        <f>'Missing Values Handled'!$H$8</f>
        <v>144.19999999999999</v>
      </c>
      <c r="H260">
        <v>146.9</v>
      </c>
      <c r="I260">
        <v>155.6</v>
      </c>
      <c r="J260">
        <v>137.1</v>
      </c>
      <c r="K260">
        <v>147.30000000000001</v>
      </c>
      <c r="L260">
        <v>162.69999999999999</v>
      </c>
      <c r="M260">
        <v>150.19999999999999</v>
      </c>
      <c r="N260">
        <v>119.8</v>
      </c>
      <c r="O260">
        <v>158.69999999999999</v>
      </c>
      <c r="P260">
        <v>139.19999999999999</v>
      </c>
      <c r="Q260" s="8">
        <f>'Missing Values Handled'!R$8</f>
        <v>135.5</v>
      </c>
      <c r="R260">
        <v>150.1</v>
      </c>
      <c r="S260" s="8">
        <f>'Missing Values Handled'!T$8</f>
        <v>144.19999999999999</v>
      </c>
      <c r="T260" s="8">
        <f>'Missing Values Handled'!U$8</f>
        <v>135.5</v>
      </c>
      <c r="U260" s="8">
        <f>'Missing Values Handled'!V$8</f>
        <v>141</v>
      </c>
      <c r="V260" s="8">
        <f>'Missing Values Handled'!W$8</f>
        <v>135.5</v>
      </c>
      <c r="W260" s="3">
        <v>141</v>
      </c>
      <c r="X260">
        <v>148.4</v>
      </c>
      <c r="Y260" s="8">
        <f>'Missing Values Handled'!Z$8</f>
        <v>144.19999999999999</v>
      </c>
      <c r="Z260">
        <v>154.30000000000001</v>
      </c>
      <c r="AA260" s="8">
        <f>'Missing Values Handled'!AB$8</f>
        <v>141</v>
      </c>
      <c r="AB260" s="8">
        <f>'Missing Values Handled'!AC$8</f>
        <v>135.5</v>
      </c>
      <c r="AC260" s="8">
        <f>'Missing Values Handled'!AD$8</f>
        <v>141</v>
      </c>
      <c r="AD260" s="8">
        <f>'Missing Values Handled'!AE$8</f>
        <v>144.19999999999999</v>
      </c>
      <c r="AE260" s="8">
        <f>'Missing Values Handled'!AF$8</f>
        <v>135.5</v>
      </c>
      <c r="AF260" s="8">
        <f>'Missing Values Handled'!AG$8</f>
        <v>141</v>
      </c>
      <c r="AG26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61" spans="1:33" hidden="1" x14ac:dyDescent="0.3">
      <c r="A261" t="s">
        <v>32</v>
      </c>
      <c r="B261">
        <v>2020</v>
      </c>
      <c r="C261" t="s">
        <v>36</v>
      </c>
      <c r="D261" s="10">
        <f>DATE(All_India_Index_Upto_April23__13[[#This Row],[Year]],All_India_Index_Upto_April23__13[[#This Row],[Month Number]],1)</f>
        <v>43922</v>
      </c>
      <c r="E261" s="2" t="str">
        <f>IF(All_India_Index_Upto_April23__13[[#This Row],[Date]]&lt;DATE(2020, 3, 1),"Pre-COVID","Post-COVID")</f>
        <v>Post-COVID</v>
      </c>
      <c r="F261">
        <v>151.80000000000001</v>
      </c>
      <c r="G261" s="8">
        <f>'Missing Values Handled'!$H$8</f>
        <v>144.19999999999999</v>
      </c>
      <c r="H261">
        <v>151.9</v>
      </c>
      <c r="I261">
        <v>155.5</v>
      </c>
      <c r="J261">
        <v>131.6</v>
      </c>
      <c r="K261">
        <v>152.9</v>
      </c>
      <c r="L261">
        <v>180</v>
      </c>
      <c r="M261">
        <v>150.80000000000001</v>
      </c>
      <c r="N261">
        <v>121.2</v>
      </c>
      <c r="O261">
        <v>154</v>
      </c>
      <c r="P261">
        <v>133.5</v>
      </c>
      <c r="Q261" s="8">
        <f>'Missing Values Handled'!R$8</f>
        <v>135.5</v>
      </c>
      <c r="R261">
        <v>153.5</v>
      </c>
      <c r="S261" s="8">
        <f>'Missing Values Handled'!T$8</f>
        <v>144.19999999999999</v>
      </c>
      <c r="T261" s="8">
        <f>'Missing Values Handled'!U$8</f>
        <v>135.5</v>
      </c>
      <c r="U261" s="8">
        <f>'Missing Values Handled'!V$8</f>
        <v>141</v>
      </c>
      <c r="V261" s="8">
        <f>'Missing Values Handled'!W$8</f>
        <v>135.5</v>
      </c>
      <c r="W261" s="3">
        <v>155.6</v>
      </c>
      <c r="X261">
        <v>137.1</v>
      </c>
      <c r="Y261" s="8">
        <f>'Missing Values Handled'!Z$8</f>
        <v>144.19999999999999</v>
      </c>
      <c r="Z261">
        <v>144.80000000000001</v>
      </c>
      <c r="AA261" s="8">
        <f>'Missing Values Handled'!AB$8</f>
        <v>141</v>
      </c>
      <c r="AB261" s="8">
        <f>'Missing Values Handled'!AC$8</f>
        <v>135.5</v>
      </c>
      <c r="AC261" s="8">
        <f>'Missing Values Handled'!AD$8</f>
        <v>141</v>
      </c>
      <c r="AD261" s="8">
        <f>'Missing Values Handled'!AE$8</f>
        <v>144.19999999999999</v>
      </c>
      <c r="AE261" s="8">
        <f>'Missing Values Handled'!AF$8</f>
        <v>135.5</v>
      </c>
      <c r="AF261" s="8">
        <f>'Missing Values Handled'!AG$8</f>
        <v>141</v>
      </c>
      <c r="AG26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62" spans="1:33" x14ac:dyDescent="0.3">
      <c r="A262" t="s">
        <v>33</v>
      </c>
      <c r="B262">
        <v>2016</v>
      </c>
      <c r="C262" t="s">
        <v>34</v>
      </c>
      <c r="D262" s="10">
        <f>DATE(All_India_Index_Upto_April23__13[[#This Row],[Year]],All_India_Index_Upto_April23__13[[#This Row],[Month Number]],1)</f>
        <v>42401</v>
      </c>
      <c r="E262" s="2" t="str">
        <f>IF(All_India_Index_Upto_April23__13[[#This Row],[Date]]&lt;DATE(2020, 3, 1),"Pre-COVID","Post-COVID")</f>
        <v>Pre-COVID</v>
      </c>
      <c r="F262">
        <v>126.4</v>
      </c>
      <c r="G262">
        <v>134.19999999999999</v>
      </c>
      <c r="H262">
        <v>128.69999999999999</v>
      </c>
      <c r="I262">
        <v>130.30000000000001</v>
      </c>
      <c r="J262">
        <v>114.8</v>
      </c>
      <c r="K262">
        <v>124.9</v>
      </c>
      <c r="L262">
        <v>130.30000000000001</v>
      </c>
      <c r="M262">
        <v>167.4</v>
      </c>
      <c r="N262">
        <v>98.8</v>
      </c>
      <c r="O262">
        <v>133.6</v>
      </c>
      <c r="P262">
        <v>123</v>
      </c>
      <c r="Q262">
        <v>135.80000000000001</v>
      </c>
      <c r="R262">
        <v>129.9</v>
      </c>
      <c r="S262">
        <v>135.9</v>
      </c>
      <c r="T262">
        <v>130.9</v>
      </c>
      <c r="U262">
        <v>125.8</v>
      </c>
      <c r="V262">
        <v>130.19999999999999</v>
      </c>
      <c r="W262" s="3">
        <v>124.4</v>
      </c>
      <c r="X262">
        <v>123.1</v>
      </c>
      <c r="Y262">
        <v>124.6</v>
      </c>
      <c r="Z262">
        <v>122.5</v>
      </c>
      <c r="AA262">
        <v>111.4</v>
      </c>
      <c r="AB262">
        <v>120.3</v>
      </c>
      <c r="AC262">
        <v>126.6</v>
      </c>
      <c r="AD262">
        <v>116.6</v>
      </c>
      <c r="AE262">
        <v>119.1</v>
      </c>
      <c r="AF262">
        <v>126</v>
      </c>
      <c r="AG26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63" spans="1:33" hidden="1" x14ac:dyDescent="0.3">
      <c r="A263" t="s">
        <v>30</v>
      </c>
      <c r="B263">
        <v>2020</v>
      </c>
      <c r="C263" t="s">
        <v>37</v>
      </c>
      <c r="D263" s="10">
        <f>DATE(All_India_Index_Upto_April23__13[[#This Row],[Year]],All_India_Index_Upto_April23__13[[#This Row],[Month Number]],1)</f>
        <v>43952</v>
      </c>
      <c r="E263" s="2" t="str">
        <f>IF(All_India_Index_Upto_April23__13[[#This Row],[Date]]&lt;DATE(2020, 3, 1),"Pre-COVID","Post-COVID")</f>
        <v>Post-COVID</v>
      </c>
      <c r="F263" s="8">
        <f>VALUE('Missing Values Handled'!$G$8)</f>
        <v>135.9</v>
      </c>
      <c r="G263" s="8">
        <f>'Missing Values Handled'!$H$8</f>
        <v>144.19999999999999</v>
      </c>
      <c r="H263" s="8">
        <f>'Missing Values Handled'!I$8</f>
        <v>135.5</v>
      </c>
      <c r="I263" s="8">
        <f>'Missing Values Handled'!J$8</f>
        <v>144.19999999999999</v>
      </c>
      <c r="J263" s="8">
        <f>'Missing Values Handled'!K$8</f>
        <v>135.5</v>
      </c>
      <c r="K263" s="8">
        <f>'Missing Values Handled'!L$8</f>
        <v>141</v>
      </c>
      <c r="L263" s="8">
        <f>'Missing Values Handled'!M$8</f>
        <v>135.5</v>
      </c>
      <c r="M263" s="8">
        <f>'Missing Values Handled'!N$8</f>
        <v>141</v>
      </c>
      <c r="N263" s="8">
        <f>'Missing Values Handled'!O$8</f>
        <v>120.5</v>
      </c>
      <c r="O263" s="8">
        <f>'Missing Values Handled'!P$8</f>
        <v>141</v>
      </c>
      <c r="P263" s="8">
        <f>'Missing Values Handled'!Q$8</f>
        <v>144.19999999999999</v>
      </c>
      <c r="Q263" s="8">
        <f>'Missing Values Handled'!R$8</f>
        <v>135.5</v>
      </c>
      <c r="R263" s="8">
        <f>'Missing Values Handled'!S$8</f>
        <v>141</v>
      </c>
      <c r="S263" s="8">
        <f>'Missing Values Handled'!T$8</f>
        <v>144.19999999999999</v>
      </c>
      <c r="T263" s="8">
        <f>'Missing Values Handled'!U$8</f>
        <v>135.5</v>
      </c>
      <c r="U263" s="8">
        <f>'Missing Values Handled'!V$8</f>
        <v>141</v>
      </c>
      <c r="V263" s="8">
        <f>'Missing Values Handled'!W$8</f>
        <v>135.5</v>
      </c>
      <c r="W263" s="9">
        <v>141</v>
      </c>
      <c r="X263" s="8">
        <f>'Missing Values Handled'!Y$8</f>
        <v>120.5</v>
      </c>
      <c r="Y263" s="8">
        <f>'Missing Values Handled'!Z$8</f>
        <v>144.19999999999999</v>
      </c>
      <c r="Z263" s="8">
        <f>'Missing Values Handled'!AA$8</f>
        <v>135.5</v>
      </c>
      <c r="AA263" s="8">
        <f>'Missing Values Handled'!AB$8</f>
        <v>141</v>
      </c>
      <c r="AB263" s="8">
        <f>'Missing Values Handled'!AC$8</f>
        <v>135.5</v>
      </c>
      <c r="AC263" s="8">
        <f>'Missing Values Handled'!AD$8</f>
        <v>141</v>
      </c>
      <c r="AD263" s="8">
        <f>'Missing Values Handled'!AE$8</f>
        <v>144.19999999999999</v>
      </c>
      <c r="AE263" s="8">
        <f>'Missing Values Handled'!AF$8</f>
        <v>135.5</v>
      </c>
      <c r="AF263" s="8">
        <f>'Missing Values Handled'!AG$8</f>
        <v>141</v>
      </c>
      <c r="AG26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64" spans="1:33" hidden="1" x14ac:dyDescent="0.3">
      <c r="A264" t="s">
        <v>32</v>
      </c>
      <c r="B264">
        <v>2020</v>
      </c>
      <c r="C264" t="s">
        <v>37</v>
      </c>
      <c r="D264" s="10">
        <f>DATE(All_India_Index_Upto_April23__13[[#This Row],[Year]],All_India_Index_Upto_April23__13[[#This Row],[Month Number]],1)</f>
        <v>43952</v>
      </c>
      <c r="E264" s="2" t="str">
        <f>IF(All_India_Index_Upto_April23__13[[#This Row],[Date]]&lt;DATE(2020, 3, 1),"Pre-COVID","Post-COVID")</f>
        <v>Post-COVID</v>
      </c>
      <c r="F264" s="8">
        <f>VALUE('Missing Values Handled'!$G$8)</f>
        <v>135.9</v>
      </c>
      <c r="G264" s="8">
        <f>'Missing Values Handled'!$H$8</f>
        <v>144.19999999999999</v>
      </c>
      <c r="H264" s="8">
        <f>'Missing Values Handled'!$I$8</f>
        <v>135.5</v>
      </c>
      <c r="I264" s="8">
        <f>'Missing Values Handled'!J$8</f>
        <v>144.19999999999999</v>
      </c>
      <c r="J264" s="8">
        <f>'Missing Values Handled'!K$8</f>
        <v>135.5</v>
      </c>
      <c r="K264" s="8">
        <f>'Missing Values Handled'!L$8</f>
        <v>141</v>
      </c>
      <c r="L264" s="8">
        <f>'Missing Values Handled'!M$8</f>
        <v>135.5</v>
      </c>
      <c r="M264" s="8">
        <f>'Missing Values Handled'!N$8</f>
        <v>141</v>
      </c>
      <c r="N264" s="8">
        <f>'Missing Values Handled'!O$8</f>
        <v>120.5</v>
      </c>
      <c r="O264" s="8">
        <f>'Missing Values Handled'!P$8</f>
        <v>141</v>
      </c>
      <c r="P264" s="8">
        <f>'Missing Values Handled'!Q$8</f>
        <v>144.19999999999999</v>
      </c>
      <c r="Q264" s="8">
        <f>'Missing Values Handled'!R$8</f>
        <v>135.5</v>
      </c>
      <c r="R264" s="8">
        <f>'Missing Values Handled'!S$8</f>
        <v>141</v>
      </c>
      <c r="S264" s="8">
        <f>'Missing Values Handled'!T$8</f>
        <v>144.19999999999999</v>
      </c>
      <c r="T264" s="8">
        <f>'Missing Values Handled'!U$8</f>
        <v>135.5</v>
      </c>
      <c r="U264" s="8">
        <f>'Missing Values Handled'!V$8</f>
        <v>141</v>
      </c>
      <c r="V264" s="8">
        <f>'Missing Values Handled'!W$8</f>
        <v>135.5</v>
      </c>
      <c r="W264" s="9">
        <v>141</v>
      </c>
      <c r="X264" s="8">
        <f>'Missing Values Handled'!Y$8</f>
        <v>120.5</v>
      </c>
      <c r="Y264" s="8">
        <f>'Missing Values Handled'!Z$8</f>
        <v>144.19999999999999</v>
      </c>
      <c r="Z264" s="8">
        <f>'Missing Values Handled'!AA$8</f>
        <v>135.5</v>
      </c>
      <c r="AA264" s="8">
        <f>'Missing Values Handled'!AB$8</f>
        <v>141</v>
      </c>
      <c r="AB264" s="8">
        <f>'Missing Values Handled'!AC$8</f>
        <v>135.5</v>
      </c>
      <c r="AC264" s="8">
        <f>'Missing Values Handled'!AD$8</f>
        <v>141</v>
      </c>
      <c r="AD264" s="8">
        <f>'Missing Values Handled'!AE$8</f>
        <v>144.19999999999999</v>
      </c>
      <c r="AE264" s="8">
        <f>'Missing Values Handled'!AF$8</f>
        <v>135.5</v>
      </c>
      <c r="AF264" s="8">
        <f>'Missing Values Handled'!AG$8</f>
        <v>141</v>
      </c>
      <c r="AG26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65" spans="1:33" x14ac:dyDescent="0.3">
      <c r="A265" t="s">
        <v>33</v>
      </c>
      <c r="B265">
        <v>2016</v>
      </c>
      <c r="C265" t="s">
        <v>31</v>
      </c>
      <c r="D265" s="10">
        <f>DATE(All_India_Index_Upto_April23__13[[#This Row],[Year]],All_India_Index_Upto_April23__13[[#This Row],[Month Number]],1)</f>
        <v>42370</v>
      </c>
      <c r="E265" s="2" t="str">
        <f>IF(All_India_Index_Upto_April23__13[[#This Row],[Date]]&lt;DATE(2020, 3, 1),"Pre-COVID","Post-COVID")</f>
        <v>Pre-COVID</v>
      </c>
      <c r="F265">
        <v>126.1</v>
      </c>
      <c r="G265">
        <v>134.1</v>
      </c>
      <c r="H265">
        <v>128.6</v>
      </c>
      <c r="I265">
        <v>129.9</v>
      </c>
      <c r="J265">
        <v>115.5</v>
      </c>
      <c r="K265">
        <v>125.7</v>
      </c>
      <c r="L265">
        <v>141.5</v>
      </c>
      <c r="M265">
        <v>170.7</v>
      </c>
      <c r="N265">
        <v>97.4</v>
      </c>
      <c r="O265">
        <v>132.9</v>
      </c>
      <c r="P265">
        <v>122.7</v>
      </c>
      <c r="Q265">
        <v>135.30000000000001</v>
      </c>
      <c r="R265">
        <v>131.30000000000001</v>
      </c>
      <c r="S265">
        <v>135.19999999999999</v>
      </c>
      <c r="T265">
        <v>130.30000000000001</v>
      </c>
      <c r="U265">
        <v>125.1</v>
      </c>
      <c r="V265">
        <v>129.5</v>
      </c>
      <c r="W265" s="3">
        <v>123.4</v>
      </c>
      <c r="X265">
        <v>122.7</v>
      </c>
      <c r="Y265">
        <v>124.2</v>
      </c>
      <c r="Z265">
        <v>122</v>
      </c>
      <c r="AA265">
        <v>111.1</v>
      </c>
      <c r="AB265">
        <v>119.8</v>
      </c>
      <c r="AC265">
        <v>126.3</v>
      </c>
      <c r="AD265">
        <v>114.5</v>
      </c>
      <c r="AE265">
        <v>118.5</v>
      </c>
      <c r="AF265">
        <v>126.3</v>
      </c>
      <c r="AG26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66" spans="1:33" hidden="1" x14ac:dyDescent="0.3">
      <c r="A266" t="s">
        <v>30</v>
      </c>
      <c r="B266">
        <v>2020</v>
      </c>
      <c r="C266" t="s">
        <v>38</v>
      </c>
      <c r="D266" s="10">
        <f>DATE(All_India_Index_Upto_April23__13[[#This Row],[Year]],All_India_Index_Upto_April23__13[[#This Row],[Month Number]],1)</f>
        <v>43983</v>
      </c>
      <c r="E266" s="2" t="str">
        <f>IF(All_India_Index_Upto_April23__13[[#This Row],[Date]]&lt;DATE(2020, 3, 1),"Pre-COVID","Post-COVID")</f>
        <v>Post-COVID</v>
      </c>
      <c r="F266">
        <v>148.19999999999999</v>
      </c>
      <c r="G266">
        <v>190.3</v>
      </c>
      <c r="H266">
        <v>149.4</v>
      </c>
      <c r="I266">
        <v>153.30000000000001</v>
      </c>
      <c r="J266">
        <v>138.19999999999999</v>
      </c>
      <c r="K266">
        <v>143.19999999999999</v>
      </c>
      <c r="L266">
        <v>148.9</v>
      </c>
      <c r="M266">
        <v>150.30000000000001</v>
      </c>
      <c r="N266">
        <v>113.2</v>
      </c>
      <c r="O266">
        <v>159.80000000000001</v>
      </c>
      <c r="P266">
        <v>142.1</v>
      </c>
      <c r="Q266">
        <v>161.80000000000001</v>
      </c>
      <c r="R266">
        <v>152.30000000000001</v>
      </c>
      <c r="S266">
        <v>182.4</v>
      </c>
      <c r="T266">
        <v>154.69999999999999</v>
      </c>
      <c r="U266">
        <v>150</v>
      </c>
      <c r="V266">
        <v>154.1</v>
      </c>
      <c r="W266" s="3">
        <v>141</v>
      </c>
      <c r="X266">
        <v>144.9</v>
      </c>
      <c r="Y266">
        <v>151.69999999999999</v>
      </c>
      <c r="Z266">
        <v>158.19999999999999</v>
      </c>
      <c r="AA266">
        <v>141.4</v>
      </c>
      <c r="AB266">
        <v>153.19999999999999</v>
      </c>
      <c r="AC266">
        <v>161.80000000000001</v>
      </c>
      <c r="AD266">
        <v>151.19999999999999</v>
      </c>
      <c r="AE266">
        <v>151.69999999999999</v>
      </c>
      <c r="AF266">
        <v>152.69999999999999</v>
      </c>
      <c r="AG26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67" spans="1:33" hidden="1" x14ac:dyDescent="0.3">
      <c r="A267" t="s">
        <v>32</v>
      </c>
      <c r="B267">
        <v>2020</v>
      </c>
      <c r="C267" t="s">
        <v>38</v>
      </c>
      <c r="D267" s="10">
        <f>DATE(All_India_Index_Upto_April23__13[[#This Row],[Year]],All_India_Index_Upto_April23__13[[#This Row],[Month Number]],1)</f>
        <v>43983</v>
      </c>
      <c r="E267" s="2" t="str">
        <f>IF(All_India_Index_Upto_April23__13[[#This Row],[Date]]&lt;DATE(2020, 3, 1),"Pre-COVID","Post-COVID")</f>
        <v>Post-COVID</v>
      </c>
      <c r="F267">
        <v>152.69999999999999</v>
      </c>
      <c r="G267">
        <v>197</v>
      </c>
      <c r="H267">
        <v>154.6</v>
      </c>
      <c r="I267">
        <v>153.4</v>
      </c>
      <c r="J267">
        <v>132.9</v>
      </c>
      <c r="K267">
        <v>151.80000000000001</v>
      </c>
      <c r="L267">
        <v>171.2</v>
      </c>
      <c r="M267">
        <v>152</v>
      </c>
      <c r="N267">
        <v>116.3</v>
      </c>
      <c r="O267">
        <v>158.80000000000001</v>
      </c>
      <c r="P267">
        <v>135.6</v>
      </c>
      <c r="Q267">
        <v>161.69999999999999</v>
      </c>
      <c r="R267">
        <v>157</v>
      </c>
      <c r="S267">
        <v>186.7</v>
      </c>
      <c r="T267">
        <v>149.1</v>
      </c>
      <c r="U267">
        <v>136.6</v>
      </c>
      <c r="V267">
        <v>147.19999999999999</v>
      </c>
      <c r="W267" s="3">
        <v>154.69999999999999</v>
      </c>
      <c r="X267">
        <v>137.1</v>
      </c>
      <c r="Y267">
        <v>140.4</v>
      </c>
      <c r="Z267">
        <v>148.1</v>
      </c>
      <c r="AA267">
        <v>129.30000000000001</v>
      </c>
      <c r="AB267">
        <v>144.5</v>
      </c>
      <c r="AC267">
        <v>152.5</v>
      </c>
      <c r="AD267">
        <v>152.19999999999999</v>
      </c>
      <c r="AE267">
        <v>142</v>
      </c>
      <c r="AF267">
        <v>150.80000000000001</v>
      </c>
      <c r="AG26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68" spans="1:33" x14ac:dyDescent="0.3">
      <c r="A268" t="s">
        <v>33</v>
      </c>
      <c r="B268">
        <v>2015</v>
      </c>
      <c r="C268" t="s">
        <v>44</v>
      </c>
      <c r="D268" s="10">
        <f>DATE(All_India_Index_Upto_April23__13[[#This Row],[Year]],All_India_Index_Upto_April23__13[[#This Row],[Month Number]],1)</f>
        <v>42339</v>
      </c>
      <c r="E268" s="2" t="str">
        <f>IF(All_India_Index_Upto_April23__13[[#This Row],[Date]]&lt;DATE(2020, 3, 1),"Pre-COVID","Post-COVID")</f>
        <v>Pre-COVID</v>
      </c>
      <c r="F268">
        <v>125.7</v>
      </c>
      <c r="G268">
        <v>131.4</v>
      </c>
      <c r="H268">
        <v>124.8</v>
      </c>
      <c r="I268">
        <v>129.4</v>
      </c>
      <c r="J268">
        <v>115.3</v>
      </c>
      <c r="K268">
        <v>126.6</v>
      </c>
      <c r="L268">
        <v>146.69999999999999</v>
      </c>
      <c r="M268">
        <v>171.5</v>
      </c>
      <c r="N268">
        <v>94.5</v>
      </c>
      <c r="O268">
        <v>132.1</v>
      </c>
      <c r="P268">
        <v>122</v>
      </c>
      <c r="Q268">
        <v>134.69999999999999</v>
      </c>
      <c r="R268">
        <v>131.4</v>
      </c>
      <c r="S268">
        <v>134.5</v>
      </c>
      <c r="T268">
        <v>129.69999999999999</v>
      </c>
      <c r="U268">
        <v>124.8</v>
      </c>
      <c r="V268">
        <v>129</v>
      </c>
      <c r="W268" s="3">
        <v>122.4</v>
      </c>
      <c r="X268">
        <v>122</v>
      </c>
      <c r="Y268">
        <v>123.6</v>
      </c>
      <c r="Z268">
        <v>121.4</v>
      </c>
      <c r="AA268">
        <v>111.5</v>
      </c>
      <c r="AB268">
        <v>119.6</v>
      </c>
      <c r="AC268">
        <v>126.2</v>
      </c>
      <c r="AD268">
        <v>113.7</v>
      </c>
      <c r="AE268">
        <v>118.3</v>
      </c>
      <c r="AF268">
        <v>126.1</v>
      </c>
      <c r="AG26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69" spans="1:33" hidden="1" x14ac:dyDescent="0.3">
      <c r="A269" t="s">
        <v>30</v>
      </c>
      <c r="B269">
        <v>2020</v>
      </c>
      <c r="C269" t="s">
        <v>39</v>
      </c>
      <c r="D269" s="10">
        <f>DATE(All_India_Index_Upto_April23__13[[#This Row],[Year]],All_India_Index_Upto_April23__13[[#This Row],[Month Number]],1)</f>
        <v>44013</v>
      </c>
      <c r="E269" s="2" t="str">
        <f>IF(All_India_Index_Upto_April23__13[[#This Row],[Date]]&lt;DATE(2020, 3, 1),"Pre-COVID","Post-COVID")</f>
        <v>Post-COVID</v>
      </c>
      <c r="F269">
        <v>148.19999999999999</v>
      </c>
      <c r="G269">
        <v>190.3</v>
      </c>
      <c r="H269">
        <v>149.4</v>
      </c>
      <c r="I269">
        <v>153.30000000000001</v>
      </c>
      <c r="J269">
        <v>138.19999999999999</v>
      </c>
      <c r="K269">
        <v>143.19999999999999</v>
      </c>
      <c r="L269">
        <v>148.9</v>
      </c>
      <c r="M269">
        <v>150.30000000000001</v>
      </c>
      <c r="N269">
        <v>113.2</v>
      </c>
      <c r="O269">
        <v>159.80000000000001</v>
      </c>
      <c r="P269">
        <v>142.1</v>
      </c>
      <c r="Q269">
        <v>161.80000000000001</v>
      </c>
      <c r="R269">
        <v>152.30000000000001</v>
      </c>
      <c r="S269">
        <v>182.4</v>
      </c>
      <c r="T269">
        <v>154.69999999999999</v>
      </c>
      <c r="U269">
        <v>150</v>
      </c>
      <c r="V269">
        <v>154.1</v>
      </c>
      <c r="W269" s="3">
        <v>141</v>
      </c>
      <c r="X269">
        <v>144.9</v>
      </c>
      <c r="Y269">
        <v>151.69999999999999</v>
      </c>
      <c r="Z269">
        <v>158.19999999999999</v>
      </c>
      <c r="AA269">
        <v>141.4</v>
      </c>
      <c r="AB269">
        <v>153.19999999999999</v>
      </c>
      <c r="AC269">
        <v>161.80000000000001</v>
      </c>
      <c r="AD269">
        <v>151.19999999999999</v>
      </c>
      <c r="AE269">
        <v>151.69999999999999</v>
      </c>
      <c r="AF269">
        <v>152.69999999999999</v>
      </c>
      <c r="AG26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70" spans="1:33" hidden="1" x14ac:dyDescent="0.3">
      <c r="A270" t="s">
        <v>32</v>
      </c>
      <c r="B270">
        <v>2020</v>
      </c>
      <c r="C270" t="s">
        <v>39</v>
      </c>
      <c r="D270" s="10">
        <f>DATE(All_India_Index_Upto_April23__13[[#This Row],[Year]],All_India_Index_Upto_April23__13[[#This Row],[Month Number]],1)</f>
        <v>44013</v>
      </c>
      <c r="E270" s="2" t="str">
        <f>IF(All_India_Index_Upto_April23__13[[#This Row],[Date]]&lt;DATE(2020, 3, 1),"Pre-COVID","Post-COVID")</f>
        <v>Post-COVID</v>
      </c>
      <c r="F270">
        <v>152.69999999999999</v>
      </c>
      <c r="G270">
        <v>197</v>
      </c>
      <c r="H270">
        <v>154.6</v>
      </c>
      <c r="I270">
        <v>153.4</v>
      </c>
      <c r="J270">
        <v>132.9</v>
      </c>
      <c r="K270">
        <v>151.80000000000001</v>
      </c>
      <c r="L270">
        <v>171.2</v>
      </c>
      <c r="M270">
        <v>152</v>
      </c>
      <c r="N270">
        <v>116.3</v>
      </c>
      <c r="O270">
        <v>158.80000000000001</v>
      </c>
      <c r="P270">
        <v>135.6</v>
      </c>
      <c r="Q270">
        <v>161.69999999999999</v>
      </c>
      <c r="R270">
        <v>157</v>
      </c>
      <c r="S270">
        <v>186.7</v>
      </c>
      <c r="T270">
        <v>149.1</v>
      </c>
      <c r="U270">
        <v>136.6</v>
      </c>
      <c r="V270">
        <v>147.19999999999999</v>
      </c>
      <c r="W270" s="3">
        <v>154.69999999999999</v>
      </c>
      <c r="X270">
        <v>137.1</v>
      </c>
      <c r="Y270">
        <v>140.4</v>
      </c>
      <c r="Z270">
        <v>148.1</v>
      </c>
      <c r="AA270">
        <v>129.30000000000001</v>
      </c>
      <c r="AB270">
        <v>144.5</v>
      </c>
      <c r="AC270">
        <v>152.5</v>
      </c>
      <c r="AD270">
        <v>152.19999999999999</v>
      </c>
      <c r="AE270">
        <v>142</v>
      </c>
      <c r="AF270">
        <v>150.80000000000001</v>
      </c>
      <c r="AG27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71" spans="1:33" x14ac:dyDescent="0.3">
      <c r="A271" t="s">
        <v>33</v>
      </c>
      <c r="B271">
        <v>2015</v>
      </c>
      <c r="C271" t="s">
        <v>43</v>
      </c>
      <c r="D271" s="10">
        <f>DATE(All_India_Index_Upto_April23__13[[#This Row],[Year]],All_India_Index_Upto_April23__13[[#This Row],[Month Number]],1)</f>
        <v>42309</v>
      </c>
      <c r="E271" s="2" t="str">
        <f>IF(All_India_Index_Upto_April23__13[[#This Row],[Date]]&lt;DATE(2020, 3, 1),"Pre-COVID","Post-COVID")</f>
        <v>Pre-COVID</v>
      </c>
      <c r="F271">
        <v>125.4</v>
      </c>
      <c r="G271">
        <v>130.30000000000001</v>
      </c>
      <c r="H271">
        <v>121.6</v>
      </c>
      <c r="I271">
        <v>129.19999999999999</v>
      </c>
      <c r="J271">
        <v>114.9</v>
      </c>
      <c r="K271">
        <v>128.19999999999999</v>
      </c>
      <c r="L271">
        <v>158.4</v>
      </c>
      <c r="M271">
        <v>171.2</v>
      </c>
      <c r="N271">
        <v>93.3</v>
      </c>
      <c r="O271">
        <v>131.19999999999999</v>
      </c>
      <c r="P271">
        <v>121.7</v>
      </c>
      <c r="Q271">
        <v>134</v>
      </c>
      <c r="R271">
        <v>132.69999999999999</v>
      </c>
      <c r="S271">
        <v>133.6</v>
      </c>
      <c r="T271">
        <v>129.30000000000001</v>
      </c>
      <c r="U271">
        <v>124.5</v>
      </c>
      <c r="V271">
        <v>128.6</v>
      </c>
      <c r="W271" s="3">
        <v>122.9</v>
      </c>
      <c r="X271">
        <v>121.6</v>
      </c>
      <c r="Y271">
        <v>123.4</v>
      </c>
      <c r="Z271">
        <v>120.9</v>
      </c>
      <c r="AA271">
        <v>111.5</v>
      </c>
      <c r="AB271">
        <v>119.2</v>
      </c>
      <c r="AC271">
        <v>126.3</v>
      </c>
      <c r="AD271">
        <v>113.8</v>
      </c>
      <c r="AE271">
        <v>118.1</v>
      </c>
      <c r="AF271">
        <v>126.6</v>
      </c>
      <c r="AG27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72" spans="1:33" hidden="1" x14ac:dyDescent="0.3">
      <c r="A272" t="s">
        <v>30</v>
      </c>
      <c r="B272">
        <v>2020</v>
      </c>
      <c r="C272" t="s">
        <v>40</v>
      </c>
      <c r="D272" s="10">
        <f>DATE(All_India_Index_Upto_April23__13[[#This Row],[Year]],All_India_Index_Upto_April23__13[[#This Row],[Month Number]],1)</f>
        <v>44044</v>
      </c>
      <c r="E272" s="2" t="str">
        <f>IF(All_India_Index_Upto_April23__13[[#This Row],[Date]]&lt;DATE(2020, 3, 1),"Pre-COVID","Post-COVID")</f>
        <v>Post-COVID</v>
      </c>
      <c r="F272">
        <v>147.6</v>
      </c>
      <c r="G272">
        <v>187.2</v>
      </c>
      <c r="H272">
        <v>148.4</v>
      </c>
      <c r="I272">
        <v>153.30000000000001</v>
      </c>
      <c r="J272">
        <v>139.80000000000001</v>
      </c>
      <c r="K272">
        <v>146.9</v>
      </c>
      <c r="L272">
        <v>171</v>
      </c>
      <c r="M272">
        <v>149.9</v>
      </c>
      <c r="N272">
        <v>114.2</v>
      </c>
      <c r="O272">
        <v>160</v>
      </c>
      <c r="P272">
        <v>143.5</v>
      </c>
      <c r="Q272">
        <v>161.5</v>
      </c>
      <c r="R272">
        <v>155.30000000000001</v>
      </c>
      <c r="S272">
        <v>180.9</v>
      </c>
      <c r="T272">
        <v>155.1</v>
      </c>
      <c r="U272">
        <v>149.30000000000001</v>
      </c>
      <c r="V272">
        <v>154.30000000000001</v>
      </c>
      <c r="W272" s="3">
        <v>141</v>
      </c>
      <c r="X272">
        <v>145.80000000000001</v>
      </c>
      <c r="Y272">
        <v>151.9</v>
      </c>
      <c r="Z272">
        <v>158.80000000000001</v>
      </c>
      <c r="AA272">
        <v>143.6</v>
      </c>
      <c r="AB272">
        <v>152.19999999999999</v>
      </c>
      <c r="AC272">
        <v>162.69999999999999</v>
      </c>
      <c r="AD272">
        <v>153.6</v>
      </c>
      <c r="AE272">
        <v>153</v>
      </c>
      <c r="AF272">
        <v>154.69999999999999</v>
      </c>
      <c r="AG27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73" spans="1:33" hidden="1" x14ac:dyDescent="0.3">
      <c r="A273" t="s">
        <v>32</v>
      </c>
      <c r="B273">
        <v>2020</v>
      </c>
      <c r="C273" t="s">
        <v>40</v>
      </c>
      <c r="D273" s="10">
        <f>DATE(All_India_Index_Upto_April23__13[[#This Row],[Year]],All_India_Index_Upto_April23__13[[#This Row],[Month Number]],1)</f>
        <v>44044</v>
      </c>
      <c r="E273" s="2" t="str">
        <f>IF(All_India_Index_Upto_April23__13[[#This Row],[Date]]&lt;DATE(2020, 3, 1),"Pre-COVID","Post-COVID")</f>
        <v>Post-COVID</v>
      </c>
      <c r="F273">
        <v>151.6</v>
      </c>
      <c r="G273">
        <v>197.8</v>
      </c>
      <c r="H273">
        <v>154.5</v>
      </c>
      <c r="I273">
        <v>153.4</v>
      </c>
      <c r="J273">
        <v>133.4</v>
      </c>
      <c r="K273">
        <v>154.5</v>
      </c>
      <c r="L273">
        <v>191.9</v>
      </c>
      <c r="M273">
        <v>151.30000000000001</v>
      </c>
      <c r="N273">
        <v>116.8</v>
      </c>
      <c r="O273">
        <v>160</v>
      </c>
      <c r="P273">
        <v>136.5</v>
      </c>
      <c r="Q273">
        <v>163.30000000000001</v>
      </c>
      <c r="R273">
        <v>159.9</v>
      </c>
      <c r="S273">
        <v>187.2</v>
      </c>
      <c r="T273">
        <v>150</v>
      </c>
      <c r="U273">
        <v>135.19999999999999</v>
      </c>
      <c r="V273">
        <v>147.80000000000001</v>
      </c>
      <c r="W273" s="3">
        <v>155.5</v>
      </c>
      <c r="X273">
        <v>138.30000000000001</v>
      </c>
      <c r="Y273">
        <v>144.5</v>
      </c>
      <c r="Z273">
        <v>148.69999999999999</v>
      </c>
      <c r="AA273">
        <v>133.9</v>
      </c>
      <c r="AB273">
        <v>141.19999999999999</v>
      </c>
      <c r="AC273">
        <v>155.5</v>
      </c>
      <c r="AD273">
        <v>155.19999999999999</v>
      </c>
      <c r="AE273">
        <v>144.80000000000001</v>
      </c>
      <c r="AF273">
        <v>152.9</v>
      </c>
      <c r="AG27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74" spans="1:33" x14ac:dyDescent="0.3">
      <c r="A274" t="s">
        <v>33</v>
      </c>
      <c r="B274">
        <v>2015</v>
      </c>
      <c r="C274" t="s">
        <v>42</v>
      </c>
      <c r="D274" s="10">
        <f>DATE(All_India_Index_Upto_April23__13[[#This Row],[Year]],All_India_Index_Upto_April23__13[[#This Row],[Month Number]],1)</f>
        <v>42278</v>
      </c>
      <c r="E274" s="2" t="str">
        <f>IF(All_India_Index_Upto_April23__13[[#This Row],[Date]]&lt;DATE(2020, 3, 1),"Pre-COVID","Post-COVID")</f>
        <v>Pre-COVID</v>
      </c>
      <c r="F274">
        <v>125</v>
      </c>
      <c r="G274">
        <v>129.80000000000001</v>
      </c>
      <c r="H274">
        <v>118.9</v>
      </c>
      <c r="I274">
        <v>129.1</v>
      </c>
      <c r="J274">
        <v>113.3</v>
      </c>
      <c r="K274">
        <v>129</v>
      </c>
      <c r="L274">
        <v>160.4</v>
      </c>
      <c r="M274">
        <v>165.3</v>
      </c>
      <c r="N274">
        <v>92.3</v>
      </c>
      <c r="O274">
        <v>129.69999999999999</v>
      </c>
      <c r="P274">
        <v>121.1</v>
      </c>
      <c r="Q274">
        <v>133</v>
      </c>
      <c r="R274">
        <v>132.1</v>
      </c>
      <c r="S274">
        <v>132.5</v>
      </c>
      <c r="T274">
        <v>128.5</v>
      </c>
      <c r="U274">
        <v>123.8</v>
      </c>
      <c r="V274">
        <v>127.8</v>
      </c>
      <c r="W274" s="3">
        <v>122.4</v>
      </c>
      <c r="X274">
        <v>120.8</v>
      </c>
      <c r="Y274">
        <v>123</v>
      </c>
      <c r="Z274">
        <v>120.4</v>
      </c>
      <c r="AA274">
        <v>111.4</v>
      </c>
      <c r="AB274">
        <v>118.7</v>
      </c>
      <c r="AC274">
        <v>125.9</v>
      </c>
      <c r="AD274">
        <v>113.9</v>
      </c>
      <c r="AE274">
        <v>117.9</v>
      </c>
      <c r="AF274">
        <v>126.1</v>
      </c>
      <c r="AG27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75" spans="1:33" hidden="1" x14ac:dyDescent="0.3">
      <c r="A275" t="s">
        <v>30</v>
      </c>
      <c r="B275">
        <v>2020</v>
      </c>
      <c r="C275" t="s">
        <v>41</v>
      </c>
      <c r="D275" s="10">
        <f>DATE(All_India_Index_Upto_April23__13[[#This Row],[Year]],All_India_Index_Upto_April23__13[[#This Row],[Month Number]],1)</f>
        <v>44075</v>
      </c>
      <c r="E275" s="2" t="str">
        <f>IF(All_India_Index_Upto_April23__13[[#This Row],[Date]]&lt;DATE(2020, 3, 1),"Pre-COVID","Post-COVID")</f>
        <v>Post-COVID</v>
      </c>
      <c r="F275">
        <v>146.9</v>
      </c>
      <c r="G275">
        <v>183.9</v>
      </c>
      <c r="H275">
        <v>149.5</v>
      </c>
      <c r="I275">
        <v>153.4</v>
      </c>
      <c r="J275">
        <v>140.4</v>
      </c>
      <c r="K275">
        <v>147</v>
      </c>
      <c r="L275">
        <v>178.8</v>
      </c>
      <c r="M275">
        <v>149.30000000000001</v>
      </c>
      <c r="N275">
        <v>115.1</v>
      </c>
      <c r="O275">
        <v>160</v>
      </c>
      <c r="P275">
        <v>145.4</v>
      </c>
      <c r="Q275">
        <v>161.6</v>
      </c>
      <c r="R275">
        <v>156.1</v>
      </c>
      <c r="S275">
        <v>182.9</v>
      </c>
      <c r="T275">
        <v>155.4</v>
      </c>
      <c r="U275">
        <v>149.9</v>
      </c>
      <c r="V275">
        <v>154.6</v>
      </c>
      <c r="W275" s="3">
        <v>141</v>
      </c>
      <c r="X275">
        <v>146.4</v>
      </c>
      <c r="Y275">
        <v>151.6</v>
      </c>
      <c r="Z275">
        <v>159.1</v>
      </c>
      <c r="AA275">
        <v>144.6</v>
      </c>
      <c r="AB275">
        <v>152.80000000000001</v>
      </c>
      <c r="AC275">
        <v>161.1</v>
      </c>
      <c r="AD275">
        <v>157.4</v>
      </c>
      <c r="AE275">
        <v>153.69999999999999</v>
      </c>
      <c r="AF275">
        <v>155.4</v>
      </c>
      <c r="AG27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76" spans="1:33" hidden="1" x14ac:dyDescent="0.3">
      <c r="A276" t="s">
        <v>32</v>
      </c>
      <c r="B276">
        <v>2020</v>
      </c>
      <c r="C276" t="s">
        <v>41</v>
      </c>
      <c r="D276" s="10">
        <f>DATE(All_India_Index_Upto_April23__13[[#This Row],[Year]],All_India_Index_Upto_April23__13[[#This Row],[Month Number]],1)</f>
        <v>44075</v>
      </c>
      <c r="E276" s="2" t="str">
        <f>IF(All_India_Index_Upto_April23__13[[#This Row],[Date]]&lt;DATE(2020, 3, 1),"Pre-COVID","Post-COVID")</f>
        <v>Post-COVID</v>
      </c>
      <c r="F276">
        <v>151.5</v>
      </c>
      <c r="G276">
        <v>193.1</v>
      </c>
      <c r="H276">
        <v>157.30000000000001</v>
      </c>
      <c r="I276">
        <v>153.9</v>
      </c>
      <c r="J276">
        <v>134.4</v>
      </c>
      <c r="K276">
        <v>155.4</v>
      </c>
      <c r="L276">
        <v>202</v>
      </c>
      <c r="M276">
        <v>150.80000000000001</v>
      </c>
      <c r="N276">
        <v>118.9</v>
      </c>
      <c r="O276">
        <v>160.9</v>
      </c>
      <c r="P276">
        <v>137.69999999999999</v>
      </c>
      <c r="Q276">
        <v>164.4</v>
      </c>
      <c r="R276">
        <v>161.30000000000001</v>
      </c>
      <c r="S276">
        <v>188.7</v>
      </c>
      <c r="T276">
        <v>150.19999999999999</v>
      </c>
      <c r="U276">
        <v>136.30000000000001</v>
      </c>
      <c r="V276">
        <v>148.1</v>
      </c>
      <c r="W276" s="3">
        <v>156.30000000000001</v>
      </c>
      <c r="X276">
        <v>137.19999999999999</v>
      </c>
      <c r="Y276">
        <v>145.4</v>
      </c>
      <c r="Z276">
        <v>150</v>
      </c>
      <c r="AA276">
        <v>135.1</v>
      </c>
      <c r="AB276">
        <v>141.80000000000001</v>
      </c>
      <c r="AC276">
        <v>154.9</v>
      </c>
      <c r="AD276">
        <v>159.80000000000001</v>
      </c>
      <c r="AE276">
        <v>146</v>
      </c>
      <c r="AF276">
        <v>154</v>
      </c>
      <c r="AG27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77" spans="1:33" x14ac:dyDescent="0.3">
      <c r="A277" t="s">
        <v>33</v>
      </c>
      <c r="B277">
        <v>2015</v>
      </c>
      <c r="C277" t="s">
        <v>41</v>
      </c>
      <c r="D277" s="10">
        <f>DATE(All_India_Index_Upto_April23__13[[#This Row],[Year]],All_India_Index_Upto_April23__13[[#This Row],[Month Number]],1)</f>
        <v>42248</v>
      </c>
      <c r="E277" s="2" t="str">
        <f>IF(All_India_Index_Upto_April23__13[[#This Row],[Date]]&lt;DATE(2020, 3, 1),"Pre-COVID","Post-COVID")</f>
        <v>Pre-COVID</v>
      </c>
      <c r="F277">
        <v>124.6</v>
      </c>
      <c r="G277">
        <v>130.4</v>
      </c>
      <c r="H277">
        <v>118.7</v>
      </c>
      <c r="I277">
        <v>128.9</v>
      </c>
      <c r="J277">
        <v>111.9</v>
      </c>
      <c r="K277">
        <v>128.4</v>
      </c>
      <c r="L277">
        <v>162.19999999999999</v>
      </c>
      <c r="M277">
        <v>150</v>
      </c>
      <c r="N277">
        <v>90.4</v>
      </c>
      <c r="O277">
        <v>128.4</v>
      </c>
      <c r="P277">
        <v>120.7</v>
      </c>
      <c r="Q277">
        <v>132.5</v>
      </c>
      <c r="R277">
        <v>131.19999999999999</v>
      </c>
      <c r="S277">
        <v>132</v>
      </c>
      <c r="T277">
        <v>127.9</v>
      </c>
      <c r="U277">
        <v>123.4</v>
      </c>
      <c r="V277">
        <v>127.2</v>
      </c>
      <c r="W277" s="3">
        <v>121.6</v>
      </c>
      <c r="X277">
        <v>120.4</v>
      </c>
      <c r="Y277">
        <v>122.6</v>
      </c>
      <c r="Z277">
        <v>119.8</v>
      </c>
      <c r="AA277">
        <v>111.3</v>
      </c>
      <c r="AB277">
        <v>118.3</v>
      </c>
      <c r="AC277">
        <v>125.7</v>
      </c>
      <c r="AD277">
        <v>113.4</v>
      </c>
      <c r="AE277">
        <v>117.5</v>
      </c>
      <c r="AF277">
        <v>125.4</v>
      </c>
      <c r="AG27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278" spans="1:33" hidden="1" x14ac:dyDescent="0.3">
      <c r="A278" t="s">
        <v>30</v>
      </c>
      <c r="B278">
        <v>2020</v>
      </c>
      <c r="C278" t="s">
        <v>42</v>
      </c>
      <c r="D278" s="10">
        <f>DATE(All_India_Index_Upto_April23__13[[#This Row],[Year]],All_India_Index_Upto_April23__13[[#This Row],[Month Number]],1)</f>
        <v>44105</v>
      </c>
      <c r="E278" s="2" t="str">
        <f>IF(All_India_Index_Upto_April23__13[[#This Row],[Date]]&lt;DATE(2020, 3, 1),"Pre-COVID","Post-COVID")</f>
        <v>Post-COVID</v>
      </c>
      <c r="F278">
        <v>146</v>
      </c>
      <c r="G278">
        <v>186.3</v>
      </c>
      <c r="H278">
        <v>159.19999999999999</v>
      </c>
      <c r="I278">
        <v>153.6</v>
      </c>
      <c r="J278">
        <v>142.6</v>
      </c>
      <c r="K278">
        <v>147.19999999999999</v>
      </c>
      <c r="L278">
        <v>200.6</v>
      </c>
      <c r="M278">
        <v>150.30000000000001</v>
      </c>
      <c r="N278">
        <v>115.3</v>
      </c>
      <c r="O278">
        <v>160.9</v>
      </c>
      <c r="P278">
        <v>147.4</v>
      </c>
      <c r="Q278">
        <v>161.9</v>
      </c>
      <c r="R278">
        <v>159.6</v>
      </c>
      <c r="S278">
        <v>182.7</v>
      </c>
      <c r="T278">
        <v>155.69999999999999</v>
      </c>
      <c r="U278">
        <v>150.6</v>
      </c>
      <c r="V278">
        <v>155</v>
      </c>
      <c r="W278" s="3">
        <v>141</v>
      </c>
      <c r="X278">
        <v>146.80000000000001</v>
      </c>
      <c r="Y278">
        <v>152</v>
      </c>
      <c r="Z278">
        <v>159.5</v>
      </c>
      <c r="AA278">
        <v>146.4</v>
      </c>
      <c r="AB278">
        <v>152.4</v>
      </c>
      <c r="AC278">
        <v>162.5</v>
      </c>
      <c r="AD278">
        <v>156.19999999999999</v>
      </c>
      <c r="AE278">
        <v>154.30000000000001</v>
      </c>
      <c r="AF278">
        <v>157.5</v>
      </c>
      <c r="AG27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79" spans="1:33" hidden="1" x14ac:dyDescent="0.3">
      <c r="A279" t="s">
        <v>32</v>
      </c>
      <c r="B279">
        <v>2020</v>
      </c>
      <c r="C279" t="s">
        <v>42</v>
      </c>
      <c r="D279" s="10">
        <f>DATE(All_India_Index_Upto_April23__13[[#This Row],[Year]],All_India_Index_Upto_April23__13[[#This Row],[Month Number]],1)</f>
        <v>44105</v>
      </c>
      <c r="E279" s="2" t="str">
        <f>IF(All_India_Index_Upto_April23__13[[#This Row],[Date]]&lt;DATE(2020, 3, 1),"Pre-COVID","Post-COVID")</f>
        <v>Post-COVID</v>
      </c>
      <c r="F279">
        <v>150.6</v>
      </c>
      <c r="G279">
        <v>193.7</v>
      </c>
      <c r="H279">
        <v>164.8</v>
      </c>
      <c r="I279">
        <v>153.69999999999999</v>
      </c>
      <c r="J279">
        <v>135.69999999999999</v>
      </c>
      <c r="K279">
        <v>155.69999999999999</v>
      </c>
      <c r="L279">
        <v>226</v>
      </c>
      <c r="M279">
        <v>152.19999999999999</v>
      </c>
      <c r="N279">
        <v>118.1</v>
      </c>
      <c r="O279">
        <v>161.30000000000001</v>
      </c>
      <c r="P279">
        <v>139.19999999999999</v>
      </c>
      <c r="Q279">
        <v>164.8</v>
      </c>
      <c r="R279">
        <v>164.4</v>
      </c>
      <c r="S279">
        <v>188.7</v>
      </c>
      <c r="T279">
        <v>150.5</v>
      </c>
      <c r="U279">
        <v>136.1</v>
      </c>
      <c r="V279">
        <v>148.30000000000001</v>
      </c>
      <c r="W279" s="3">
        <v>156.5</v>
      </c>
      <c r="X279">
        <v>137.1</v>
      </c>
      <c r="Y279">
        <v>145.1</v>
      </c>
      <c r="Z279">
        <v>151</v>
      </c>
      <c r="AA279">
        <v>135.4</v>
      </c>
      <c r="AB279">
        <v>142</v>
      </c>
      <c r="AC279">
        <v>155.69999999999999</v>
      </c>
      <c r="AD279">
        <v>158.1</v>
      </c>
      <c r="AE279">
        <v>146.19999999999999</v>
      </c>
      <c r="AF279">
        <v>155.19999999999999</v>
      </c>
      <c r="AG27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280" spans="1:33" x14ac:dyDescent="0.3">
      <c r="A280" t="s">
        <v>33</v>
      </c>
      <c r="B280">
        <v>2015</v>
      </c>
      <c r="C280" t="s">
        <v>40</v>
      </c>
      <c r="D280" s="10">
        <f>DATE(All_India_Index_Upto_April23__13[[#This Row],[Year]],All_India_Index_Upto_April23__13[[#This Row],[Month Number]],1)</f>
        <v>42217</v>
      </c>
      <c r="E280" s="2" t="str">
        <f>IF(All_India_Index_Upto_April23__13[[#This Row],[Date]]&lt;DATE(2020, 3, 1),"Pre-COVID","Post-COVID")</f>
        <v>Pre-COVID</v>
      </c>
      <c r="F280">
        <v>124.2</v>
      </c>
      <c r="G280">
        <v>131.4</v>
      </c>
      <c r="H280">
        <v>120.1</v>
      </c>
      <c r="I280">
        <v>128.5</v>
      </c>
      <c r="J280">
        <v>111.4</v>
      </c>
      <c r="K280">
        <v>132.30000000000001</v>
      </c>
      <c r="L280">
        <v>157.6</v>
      </c>
      <c r="M280">
        <v>144</v>
      </c>
      <c r="N280">
        <v>90.5</v>
      </c>
      <c r="O280">
        <v>126.8</v>
      </c>
      <c r="P280">
        <v>120.4</v>
      </c>
      <c r="Q280">
        <v>132.1</v>
      </c>
      <c r="R280">
        <v>130.30000000000001</v>
      </c>
      <c r="S280">
        <v>131.19999999999999</v>
      </c>
      <c r="T280">
        <v>127.2</v>
      </c>
      <c r="U280">
        <v>122.9</v>
      </c>
      <c r="V280">
        <v>126.6</v>
      </c>
      <c r="W280" s="3">
        <v>120.9</v>
      </c>
      <c r="X280">
        <v>120.6</v>
      </c>
      <c r="Y280">
        <v>122</v>
      </c>
      <c r="Z280">
        <v>119.4</v>
      </c>
      <c r="AA280">
        <v>111.7</v>
      </c>
      <c r="AB280">
        <v>117.8</v>
      </c>
      <c r="AC280">
        <v>125.1</v>
      </c>
      <c r="AD280">
        <v>112.3</v>
      </c>
      <c r="AE280">
        <v>117.2</v>
      </c>
      <c r="AF280">
        <v>124.8</v>
      </c>
      <c r="AG28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281" spans="1:33" hidden="1" x14ac:dyDescent="0.3">
      <c r="A281" t="s">
        <v>30</v>
      </c>
      <c r="B281">
        <v>2020</v>
      </c>
      <c r="C281" t="s">
        <v>43</v>
      </c>
      <c r="D281" s="10">
        <f>DATE(All_India_Index_Upto_April23__13[[#This Row],[Year]],All_India_Index_Upto_April23__13[[#This Row],[Month Number]],1)</f>
        <v>44136</v>
      </c>
      <c r="E281" s="2" t="str">
        <f>IF(All_India_Index_Upto_April23__13[[#This Row],[Date]]&lt;DATE(2020, 3, 1),"Pre-COVID","Post-COVID")</f>
        <v>Post-COVID</v>
      </c>
      <c r="F281">
        <v>145.4</v>
      </c>
      <c r="G281">
        <v>188.6</v>
      </c>
      <c r="H281">
        <v>171.6</v>
      </c>
      <c r="I281">
        <v>153.80000000000001</v>
      </c>
      <c r="J281">
        <v>145.4</v>
      </c>
      <c r="K281">
        <v>146.5</v>
      </c>
      <c r="L281">
        <v>222.2</v>
      </c>
      <c r="M281">
        <v>155.9</v>
      </c>
      <c r="N281">
        <v>114.9</v>
      </c>
      <c r="O281">
        <v>162</v>
      </c>
      <c r="P281">
        <v>150</v>
      </c>
      <c r="Q281">
        <v>162.69999999999999</v>
      </c>
      <c r="R281">
        <v>163.4</v>
      </c>
      <c r="S281">
        <v>183.4</v>
      </c>
      <c r="T281">
        <v>156.30000000000001</v>
      </c>
      <c r="U281">
        <v>151</v>
      </c>
      <c r="V281">
        <v>155.5</v>
      </c>
      <c r="W281" s="3">
        <v>141</v>
      </c>
      <c r="X281">
        <v>147.5</v>
      </c>
      <c r="Y281">
        <v>152.80000000000001</v>
      </c>
      <c r="Z281">
        <v>160.4</v>
      </c>
      <c r="AA281">
        <v>146.1</v>
      </c>
      <c r="AB281">
        <v>153.6</v>
      </c>
      <c r="AC281">
        <v>161.6</v>
      </c>
      <c r="AD281">
        <v>156.19999999999999</v>
      </c>
      <c r="AE281">
        <v>154.5</v>
      </c>
      <c r="AF281">
        <v>159.80000000000001</v>
      </c>
      <c r="AG28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82" spans="1:33" hidden="1" x14ac:dyDescent="0.3">
      <c r="A282" t="s">
        <v>32</v>
      </c>
      <c r="B282">
        <v>2020</v>
      </c>
      <c r="C282" t="s">
        <v>43</v>
      </c>
      <c r="D282" s="10">
        <f>DATE(All_India_Index_Upto_April23__13[[#This Row],[Year]],All_India_Index_Upto_April23__13[[#This Row],[Month Number]],1)</f>
        <v>44136</v>
      </c>
      <c r="E282" s="2" t="str">
        <f>IF(All_India_Index_Upto_April23__13[[#This Row],[Date]]&lt;DATE(2020, 3, 1),"Pre-COVID","Post-COVID")</f>
        <v>Post-COVID</v>
      </c>
      <c r="F282">
        <v>149.69999999999999</v>
      </c>
      <c r="G282">
        <v>195.5</v>
      </c>
      <c r="H282">
        <v>176.9</v>
      </c>
      <c r="I282">
        <v>153.9</v>
      </c>
      <c r="J282">
        <v>138</v>
      </c>
      <c r="K282">
        <v>150.5</v>
      </c>
      <c r="L282">
        <v>245.3</v>
      </c>
      <c r="M282">
        <v>158.69999999999999</v>
      </c>
      <c r="N282">
        <v>117.2</v>
      </c>
      <c r="O282">
        <v>161.4</v>
      </c>
      <c r="P282">
        <v>141.5</v>
      </c>
      <c r="Q282">
        <v>165.1</v>
      </c>
      <c r="R282">
        <v>167</v>
      </c>
      <c r="S282">
        <v>188.8</v>
      </c>
      <c r="T282">
        <v>151.1</v>
      </c>
      <c r="U282">
        <v>136.4</v>
      </c>
      <c r="V282">
        <v>148.80000000000001</v>
      </c>
      <c r="W282" s="3">
        <v>158</v>
      </c>
      <c r="X282">
        <v>137.30000000000001</v>
      </c>
      <c r="Y282">
        <v>145.1</v>
      </c>
      <c r="Z282">
        <v>152</v>
      </c>
      <c r="AA282">
        <v>135.19999999999999</v>
      </c>
      <c r="AB282">
        <v>144.4</v>
      </c>
      <c r="AC282">
        <v>156.4</v>
      </c>
      <c r="AD282">
        <v>157.9</v>
      </c>
      <c r="AE282">
        <v>146.6</v>
      </c>
      <c r="AF282">
        <v>156.69999999999999</v>
      </c>
      <c r="AG28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283" spans="1:33" x14ac:dyDescent="0.3">
      <c r="A283" t="s">
        <v>33</v>
      </c>
      <c r="B283">
        <v>2015</v>
      </c>
      <c r="C283" t="s">
        <v>39</v>
      </c>
      <c r="D283" s="10">
        <f>DATE(All_India_Index_Upto_April23__13[[#This Row],[Year]],All_India_Index_Upto_April23__13[[#This Row],[Month Number]],1)</f>
        <v>42186</v>
      </c>
      <c r="E283" s="2" t="str">
        <f>IF(All_India_Index_Upto_April23__13[[#This Row],[Date]]&lt;DATE(2020, 3, 1),"Pre-COVID","Post-COVID")</f>
        <v>Pre-COVID</v>
      </c>
      <c r="F283">
        <v>123.7</v>
      </c>
      <c r="G283">
        <v>132.5</v>
      </c>
      <c r="H283">
        <v>121</v>
      </c>
      <c r="I283">
        <v>128.30000000000001</v>
      </c>
      <c r="J283">
        <v>110.9</v>
      </c>
      <c r="K283">
        <v>133.1</v>
      </c>
      <c r="L283">
        <v>145.1</v>
      </c>
      <c r="M283">
        <v>139.1</v>
      </c>
      <c r="N283">
        <v>91.3</v>
      </c>
      <c r="O283">
        <v>126.1</v>
      </c>
      <c r="P283">
        <v>119.9</v>
      </c>
      <c r="Q283">
        <v>131.4</v>
      </c>
      <c r="R283">
        <v>128.19999999999999</v>
      </c>
      <c r="S283">
        <v>130.4</v>
      </c>
      <c r="T283">
        <v>126.7</v>
      </c>
      <c r="U283">
        <v>122.3</v>
      </c>
      <c r="V283">
        <v>126.1</v>
      </c>
      <c r="W283" s="3">
        <v>119.9</v>
      </c>
      <c r="X283">
        <v>120.1</v>
      </c>
      <c r="Y283">
        <v>121.3</v>
      </c>
      <c r="Z283">
        <v>119</v>
      </c>
      <c r="AA283">
        <v>112.7</v>
      </c>
      <c r="AB283">
        <v>117.2</v>
      </c>
      <c r="AC283">
        <v>124.4</v>
      </c>
      <c r="AD283">
        <v>112.3</v>
      </c>
      <c r="AE283">
        <v>117.2</v>
      </c>
      <c r="AF283">
        <v>123.6</v>
      </c>
      <c r="AG28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284" spans="1:33" hidden="1" x14ac:dyDescent="0.3">
      <c r="A284" t="s">
        <v>30</v>
      </c>
      <c r="B284">
        <v>2020</v>
      </c>
      <c r="C284" t="s">
        <v>44</v>
      </c>
      <c r="D284" s="10">
        <f>DATE(All_India_Index_Upto_April23__13[[#This Row],[Year]],All_India_Index_Upto_April23__13[[#This Row],[Month Number]],1)</f>
        <v>44166</v>
      </c>
      <c r="E284" s="2" t="str">
        <f>IF(All_India_Index_Upto_April23__13[[#This Row],[Date]]&lt;DATE(2020, 3, 1),"Pre-COVID","Post-COVID")</f>
        <v>Post-COVID</v>
      </c>
      <c r="F284">
        <v>144.6</v>
      </c>
      <c r="G284">
        <v>188.5</v>
      </c>
      <c r="H284">
        <v>173.4</v>
      </c>
      <c r="I284">
        <v>154</v>
      </c>
      <c r="J284">
        <v>150</v>
      </c>
      <c r="K284">
        <v>145.9</v>
      </c>
      <c r="L284">
        <v>225.2</v>
      </c>
      <c r="M284">
        <v>159.5</v>
      </c>
      <c r="N284">
        <v>114.4</v>
      </c>
      <c r="O284">
        <v>163.5</v>
      </c>
      <c r="P284">
        <v>153.4</v>
      </c>
      <c r="Q284">
        <v>163.6</v>
      </c>
      <c r="R284">
        <v>164.5</v>
      </c>
      <c r="S284">
        <v>183.6</v>
      </c>
      <c r="T284">
        <v>157</v>
      </c>
      <c r="U284">
        <v>151.6</v>
      </c>
      <c r="V284">
        <v>156.30000000000001</v>
      </c>
      <c r="W284" s="3">
        <v>141</v>
      </c>
      <c r="X284">
        <v>148.69999999999999</v>
      </c>
      <c r="Y284">
        <v>153.4</v>
      </c>
      <c r="Z284">
        <v>161.6</v>
      </c>
      <c r="AA284">
        <v>146.4</v>
      </c>
      <c r="AB284">
        <v>153.9</v>
      </c>
      <c r="AC284">
        <v>162.9</v>
      </c>
      <c r="AD284">
        <v>156.6</v>
      </c>
      <c r="AE284">
        <v>155.19999999999999</v>
      </c>
      <c r="AF284">
        <v>160.69999999999999</v>
      </c>
      <c r="AG28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85" spans="1:33" hidden="1" x14ac:dyDescent="0.3">
      <c r="A285" t="s">
        <v>32</v>
      </c>
      <c r="B285">
        <v>2020</v>
      </c>
      <c r="C285" t="s">
        <v>44</v>
      </c>
      <c r="D285" s="10">
        <f>DATE(All_India_Index_Upto_April23__13[[#This Row],[Year]],All_India_Index_Upto_April23__13[[#This Row],[Month Number]],1)</f>
        <v>44166</v>
      </c>
      <c r="E285" s="2" t="str">
        <f>IF(All_India_Index_Upto_April23__13[[#This Row],[Date]]&lt;DATE(2020, 3, 1),"Pre-COVID","Post-COVID")</f>
        <v>Post-COVID</v>
      </c>
      <c r="F285">
        <v>149</v>
      </c>
      <c r="G285">
        <v>195.7</v>
      </c>
      <c r="H285">
        <v>178.3</v>
      </c>
      <c r="I285">
        <v>154.19999999999999</v>
      </c>
      <c r="J285">
        <v>140.69999999999999</v>
      </c>
      <c r="K285">
        <v>149.69999999999999</v>
      </c>
      <c r="L285">
        <v>240.9</v>
      </c>
      <c r="M285">
        <v>161.5</v>
      </c>
      <c r="N285">
        <v>117.1</v>
      </c>
      <c r="O285">
        <v>161.9</v>
      </c>
      <c r="P285">
        <v>143.30000000000001</v>
      </c>
      <c r="Q285">
        <v>166.1</v>
      </c>
      <c r="R285">
        <v>167</v>
      </c>
      <c r="S285">
        <v>190.2</v>
      </c>
      <c r="T285">
        <v>151.9</v>
      </c>
      <c r="U285">
        <v>136.69999999999999</v>
      </c>
      <c r="V285">
        <v>149.6</v>
      </c>
      <c r="W285" s="3">
        <v>158.4</v>
      </c>
      <c r="X285">
        <v>137.9</v>
      </c>
      <c r="Y285">
        <v>145.5</v>
      </c>
      <c r="Z285">
        <v>152.9</v>
      </c>
      <c r="AA285">
        <v>135.5</v>
      </c>
      <c r="AB285">
        <v>144.30000000000001</v>
      </c>
      <c r="AC285">
        <v>156.9</v>
      </c>
      <c r="AD285">
        <v>157.9</v>
      </c>
      <c r="AE285">
        <v>146.9</v>
      </c>
      <c r="AF285">
        <v>156.9</v>
      </c>
      <c r="AG28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286" spans="1:33" x14ac:dyDescent="0.3">
      <c r="A286" t="s">
        <v>33</v>
      </c>
      <c r="B286">
        <v>2015</v>
      </c>
      <c r="C286" t="s">
        <v>38</v>
      </c>
      <c r="D286" s="10">
        <f>DATE(All_India_Index_Upto_April23__13[[#This Row],[Year]],All_India_Index_Upto_April23__13[[#This Row],[Month Number]],1)</f>
        <v>42156</v>
      </c>
      <c r="E286" s="2" t="str">
        <f>IF(All_India_Index_Upto_April23__13[[#This Row],[Date]]&lt;DATE(2020, 3, 1),"Pre-COVID","Post-COVID")</f>
        <v>Pre-COVID</v>
      </c>
      <c r="F286">
        <v>123.9</v>
      </c>
      <c r="G286">
        <v>131.80000000000001</v>
      </c>
      <c r="H286">
        <v>121.6</v>
      </c>
      <c r="I286">
        <v>128.19999999999999</v>
      </c>
      <c r="J286">
        <v>111.1</v>
      </c>
      <c r="K286">
        <v>132.80000000000001</v>
      </c>
      <c r="L286">
        <v>139.1</v>
      </c>
      <c r="M286">
        <v>137.4</v>
      </c>
      <c r="N286">
        <v>94.1</v>
      </c>
      <c r="O286">
        <v>125.5</v>
      </c>
      <c r="P286">
        <v>119.8</v>
      </c>
      <c r="Q286">
        <v>130.9</v>
      </c>
      <c r="R286">
        <v>127.3</v>
      </c>
      <c r="S286">
        <v>129.19999999999999</v>
      </c>
      <c r="T286">
        <v>126.4</v>
      </c>
      <c r="U286">
        <v>122</v>
      </c>
      <c r="V286">
        <v>125.7</v>
      </c>
      <c r="W286" s="3">
        <v>119</v>
      </c>
      <c r="X286">
        <v>119.8</v>
      </c>
      <c r="Y286">
        <v>121.1</v>
      </c>
      <c r="Z286">
        <v>118.5</v>
      </c>
      <c r="AA286">
        <v>112.9</v>
      </c>
      <c r="AB286">
        <v>116.9</v>
      </c>
      <c r="AC286">
        <v>123.1</v>
      </c>
      <c r="AD286">
        <v>112.8</v>
      </c>
      <c r="AE286">
        <v>117</v>
      </c>
      <c r="AF286">
        <v>123</v>
      </c>
      <c r="AG28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287" spans="1:33" hidden="1" x14ac:dyDescent="0.3">
      <c r="A287" t="s">
        <v>30</v>
      </c>
      <c r="B287">
        <v>2021</v>
      </c>
      <c r="C287" t="s">
        <v>31</v>
      </c>
      <c r="D287" s="10">
        <f>DATE(All_India_Index_Upto_April23__13[[#This Row],[Year]],All_India_Index_Upto_April23__13[[#This Row],[Month Number]],1)</f>
        <v>44197</v>
      </c>
      <c r="E287" s="2" t="str">
        <f>IF(All_India_Index_Upto_April23__13[[#This Row],[Date]]&lt;DATE(2020, 3, 1),"Pre-COVID","Post-COVID")</f>
        <v>Post-COVID</v>
      </c>
      <c r="F287">
        <v>143.4</v>
      </c>
      <c r="G287">
        <v>187.5</v>
      </c>
      <c r="H287">
        <v>173.4</v>
      </c>
      <c r="I287">
        <v>154</v>
      </c>
      <c r="J287">
        <v>154.80000000000001</v>
      </c>
      <c r="K287">
        <v>147</v>
      </c>
      <c r="L287">
        <v>187.8</v>
      </c>
      <c r="M287">
        <v>159.5</v>
      </c>
      <c r="N287">
        <v>113.8</v>
      </c>
      <c r="O287">
        <v>164.5</v>
      </c>
      <c r="P287">
        <v>156.1</v>
      </c>
      <c r="Q287">
        <v>164.3</v>
      </c>
      <c r="R287">
        <v>159.6</v>
      </c>
      <c r="S287">
        <v>184.6</v>
      </c>
      <c r="T287">
        <v>157.5</v>
      </c>
      <c r="U287">
        <v>152.4</v>
      </c>
      <c r="V287">
        <v>156.80000000000001</v>
      </c>
      <c r="W287" s="3">
        <v>141</v>
      </c>
      <c r="X287">
        <v>150.9</v>
      </c>
      <c r="Y287">
        <v>153.9</v>
      </c>
      <c r="Z287">
        <v>162.5</v>
      </c>
      <c r="AA287">
        <v>147.5</v>
      </c>
      <c r="AB287">
        <v>155.1</v>
      </c>
      <c r="AC287">
        <v>163.5</v>
      </c>
      <c r="AD287">
        <v>156.19999999999999</v>
      </c>
      <c r="AE287">
        <v>155.9</v>
      </c>
      <c r="AF287">
        <v>158.5</v>
      </c>
      <c r="AG28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88" spans="1:33" hidden="1" x14ac:dyDescent="0.3">
      <c r="A288" t="s">
        <v>32</v>
      </c>
      <c r="B288">
        <v>2021</v>
      </c>
      <c r="C288" t="s">
        <v>31</v>
      </c>
      <c r="D288" s="10">
        <f>DATE(All_India_Index_Upto_April23__13[[#This Row],[Year]],All_India_Index_Upto_April23__13[[#This Row],[Month Number]],1)</f>
        <v>44197</v>
      </c>
      <c r="E288" s="2" t="str">
        <f>IF(All_India_Index_Upto_April23__13[[#This Row],[Date]]&lt;DATE(2020, 3, 1),"Pre-COVID","Post-COVID")</f>
        <v>Post-COVID</v>
      </c>
      <c r="F288">
        <v>148</v>
      </c>
      <c r="G288">
        <v>194.8</v>
      </c>
      <c r="H288">
        <v>178.4</v>
      </c>
      <c r="I288">
        <v>154.4</v>
      </c>
      <c r="J288">
        <v>144.1</v>
      </c>
      <c r="K288">
        <v>152.6</v>
      </c>
      <c r="L288">
        <v>206.8</v>
      </c>
      <c r="M288">
        <v>162.1</v>
      </c>
      <c r="N288">
        <v>116.3</v>
      </c>
      <c r="O288">
        <v>163</v>
      </c>
      <c r="P288">
        <v>145.9</v>
      </c>
      <c r="Q288">
        <v>167.2</v>
      </c>
      <c r="R288">
        <v>163.4</v>
      </c>
      <c r="S288">
        <v>191.8</v>
      </c>
      <c r="T288">
        <v>152.5</v>
      </c>
      <c r="U288">
        <v>137.30000000000001</v>
      </c>
      <c r="V288">
        <v>150.19999999999999</v>
      </c>
      <c r="W288" s="3">
        <v>157.69999999999999</v>
      </c>
      <c r="X288">
        <v>142.9</v>
      </c>
      <c r="Y288">
        <v>145.69999999999999</v>
      </c>
      <c r="Z288">
        <v>154.1</v>
      </c>
      <c r="AA288">
        <v>136.9</v>
      </c>
      <c r="AB288">
        <v>145.4</v>
      </c>
      <c r="AC288">
        <v>156.1</v>
      </c>
      <c r="AD288">
        <v>157.69999999999999</v>
      </c>
      <c r="AE288">
        <v>147.6</v>
      </c>
      <c r="AF288">
        <v>156</v>
      </c>
      <c r="AG28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289" spans="1:33" x14ac:dyDescent="0.3">
      <c r="A289" t="s">
        <v>33</v>
      </c>
      <c r="B289">
        <v>2015</v>
      </c>
      <c r="C289" t="s">
        <v>37</v>
      </c>
      <c r="D289" s="10">
        <f>DATE(All_India_Index_Upto_April23__13[[#This Row],[Year]],All_India_Index_Upto_April23__13[[#This Row],[Month Number]],1)</f>
        <v>42125</v>
      </c>
      <c r="E289" s="2" t="str">
        <f>IF(All_India_Index_Upto_April23__13[[#This Row],[Date]]&lt;DATE(2020, 3, 1),"Pre-COVID","Post-COVID")</f>
        <v>Pre-COVID</v>
      </c>
      <c r="F289">
        <v>123.6</v>
      </c>
      <c r="G289">
        <v>128</v>
      </c>
      <c r="H289">
        <v>115</v>
      </c>
      <c r="I289">
        <v>127.3</v>
      </c>
      <c r="J289">
        <v>109.8</v>
      </c>
      <c r="K289">
        <v>132.6</v>
      </c>
      <c r="L289">
        <v>130.9</v>
      </c>
      <c r="M289">
        <v>130.5</v>
      </c>
      <c r="N289">
        <v>95.3</v>
      </c>
      <c r="O289">
        <v>123.4</v>
      </c>
      <c r="P289">
        <v>119.2</v>
      </c>
      <c r="Q289">
        <v>129.80000000000001</v>
      </c>
      <c r="R289">
        <v>125</v>
      </c>
      <c r="S289">
        <v>127.9</v>
      </c>
      <c r="T289">
        <v>125.4</v>
      </c>
      <c r="U289">
        <v>121.3</v>
      </c>
      <c r="V289">
        <v>124.7</v>
      </c>
      <c r="W289" s="3">
        <v>119.6</v>
      </c>
      <c r="X289">
        <v>119.2</v>
      </c>
      <c r="Y289">
        <v>120.2</v>
      </c>
      <c r="Z289">
        <v>117.7</v>
      </c>
      <c r="AA289">
        <v>112</v>
      </c>
      <c r="AB289">
        <v>116.3</v>
      </c>
      <c r="AC289">
        <v>121.4</v>
      </c>
      <c r="AD289">
        <v>112.3</v>
      </c>
      <c r="AE289">
        <v>116.1</v>
      </c>
      <c r="AF289">
        <v>121.6</v>
      </c>
      <c r="AG28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290" spans="1:33" hidden="1" x14ac:dyDescent="0.3">
      <c r="A290" t="s">
        <v>30</v>
      </c>
      <c r="B290">
        <v>2021</v>
      </c>
      <c r="C290" t="s">
        <v>34</v>
      </c>
      <c r="D290" s="10">
        <f>DATE(All_India_Index_Upto_April23__13[[#This Row],[Year]],All_India_Index_Upto_April23__13[[#This Row],[Month Number]],1)</f>
        <v>44228</v>
      </c>
      <c r="E290" s="2" t="str">
        <f>IF(All_India_Index_Upto_April23__13[[#This Row],[Date]]&lt;DATE(2020, 3, 1),"Pre-COVID","Post-COVID")</f>
        <v>Post-COVID</v>
      </c>
      <c r="F290">
        <v>142.80000000000001</v>
      </c>
      <c r="G290">
        <v>184</v>
      </c>
      <c r="H290">
        <v>168</v>
      </c>
      <c r="I290">
        <v>154.4</v>
      </c>
      <c r="J290">
        <v>163</v>
      </c>
      <c r="K290">
        <v>147.80000000000001</v>
      </c>
      <c r="L290">
        <v>149.69999999999999</v>
      </c>
      <c r="M290">
        <v>158.30000000000001</v>
      </c>
      <c r="N290">
        <v>111.8</v>
      </c>
      <c r="O290">
        <v>165</v>
      </c>
      <c r="P290">
        <v>160</v>
      </c>
      <c r="Q290">
        <v>165.8</v>
      </c>
      <c r="R290">
        <v>154.69999999999999</v>
      </c>
      <c r="S290">
        <v>186.5</v>
      </c>
      <c r="T290">
        <v>159.1</v>
      </c>
      <c r="U290">
        <v>153.9</v>
      </c>
      <c r="V290">
        <v>158.4</v>
      </c>
      <c r="W290" s="3">
        <v>141</v>
      </c>
      <c r="X290">
        <v>154.4</v>
      </c>
      <c r="Y290">
        <v>154.80000000000001</v>
      </c>
      <c r="Z290">
        <v>164.3</v>
      </c>
      <c r="AA290">
        <v>150.19999999999999</v>
      </c>
      <c r="AB290">
        <v>157</v>
      </c>
      <c r="AC290">
        <v>163.6</v>
      </c>
      <c r="AD290">
        <v>155.19999999999999</v>
      </c>
      <c r="AE290">
        <v>157.19999999999999</v>
      </c>
      <c r="AF290">
        <v>156.69999999999999</v>
      </c>
      <c r="AG29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91" spans="1:33" hidden="1" x14ac:dyDescent="0.3">
      <c r="A291" t="s">
        <v>32</v>
      </c>
      <c r="B291">
        <v>2021</v>
      </c>
      <c r="C291" t="s">
        <v>34</v>
      </c>
      <c r="D291" s="10">
        <f>DATE(All_India_Index_Upto_April23__13[[#This Row],[Year]],All_India_Index_Upto_April23__13[[#This Row],[Month Number]],1)</f>
        <v>44228</v>
      </c>
      <c r="E291" s="2" t="str">
        <f>IF(All_India_Index_Upto_April23__13[[#This Row],[Date]]&lt;DATE(2020, 3, 1),"Pre-COVID","Post-COVID")</f>
        <v>Post-COVID</v>
      </c>
      <c r="F291">
        <v>147.6</v>
      </c>
      <c r="G291">
        <v>191.2</v>
      </c>
      <c r="H291">
        <v>169.9</v>
      </c>
      <c r="I291">
        <v>155.1</v>
      </c>
      <c r="J291">
        <v>151.4</v>
      </c>
      <c r="K291">
        <v>154</v>
      </c>
      <c r="L291">
        <v>180.2</v>
      </c>
      <c r="M291">
        <v>159.80000000000001</v>
      </c>
      <c r="N291">
        <v>114.9</v>
      </c>
      <c r="O291">
        <v>162.5</v>
      </c>
      <c r="P291">
        <v>149.19999999999999</v>
      </c>
      <c r="Q291">
        <v>169.4</v>
      </c>
      <c r="R291">
        <v>160.80000000000001</v>
      </c>
      <c r="S291">
        <v>193.3</v>
      </c>
      <c r="T291">
        <v>154.19999999999999</v>
      </c>
      <c r="U291">
        <v>138.19999999999999</v>
      </c>
      <c r="V291">
        <v>151.80000000000001</v>
      </c>
      <c r="W291" s="3">
        <v>159.80000000000001</v>
      </c>
      <c r="X291">
        <v>149.1</v>
      </c>
      <c r="Y291">
        <v>146.5</v>
      </c>
      <c r="Z291">
        <v>156.30000000000001</v>
      </c>
      <c r="AA291">
        <v>140.5</v>
      </c>
      <c r="AB291">
        <v>147.30000000000001</v>
      </c>
      <c r="AC291">
        <v>156.6</v>
      </c>
      <c r="AD291">
        <v>156.69999999999999</v>
      </c>
      <c r="AE291">
        <v>149.30000000000001</v>
      </c>
      <c r="AF291">
        <v>156.5</v>
      </c>
      <c r="AG29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92" spans="1:33" x14ac:dyDescent="0.3">
      <c r="A292" t="s">
        <v>33</v>
      </c>
      <c r="B292">
        <v>2015</v>
      </c>
      <c r="C292" t="s">
        <v>36</v>
      </c>
      <c r="D292" s="10">
        <f>DATE(All_India_Index_Upto_April23__13[[#This Row],[Year]],All_India_Index_Upto_April23__13[[#This Row],[Month Number]],1)</f>
        <v>42095</v>
      </c>
      <c r="E292" s="2" t="str">
        <f>IF(All_India_Index_Upto_April23__13[[#This Row],[Date]]&lt;DATE(2020, 3, 1),"Pre-COVID","Post-COVID")</f>
        <v>Pre-COVID</v>
      </c>
      <c r="F292">
        <v>123.5</v>
      </c>
      <c r="G292">
        <v>126.4</v>
      </c>
      <c r="H292">
        <v>114.4</v>
      </c>
      <c r="I292">
        <v>126.6</v>
      </c>
      <c r="J292">
        <v>109.2</v>
      </c>
      <c r="K292">
        <v>132.5</v>
      </c>
      <c r="L292">
        <v>128.6</v>
      </c>
      <c r="M292">
        <v>124.8</v>
      </c>
      <c r="N292">
        <v>95.7</v>
      </c>
      <c r="O292">
        <v>122.4</v>
      </c>
      <c r="P292">
        <v>118.5</v>
      </c>
      <c r="Q292">
        <v>129.1</v>
      </c>
      <c r="R292">
        <v>124</v>
      </c>
      <c r="S292">
        <v>126.9</v>
      </c>
      <c r="T292">
        <v>124.7</v>
      </c>
      <c r="U292">
        <v>120.8</v>
      </c>
      <c r="V292">
        <v>124.1</v>
      </c>
      <c r="W292" s="3">
        <v>119.2</v>
      </c>
      <c r="X292">
        <v>118.7</v>
      </c>
      <c r="Y292">
        <v>119.7</v>
      </c>
      <c r="Z292">
        <v>117.1</v>
      </c>
      <c r="AA292">
        <v>110.1</v>
      </c>
      <c r="AB292">
        <v>115.9</v>
      </c>
      <c r="AC292">
        <v>121</v>
      </c>
      <c r="AD292">
        <v>111.7</v>
      </c>
      <c r="AE292">
        <v>115.1</v>
      </c>
      <c r="AF292">
        <v>120.7</v>
      </c>
      <c r="AG29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93" spans="1:33" hidden="1" x14ac:dyDescent="0.3">
      <c r="A293" t="s">
        <v>30</v>
      </c>
      <c r="B293">
        <v>2021</v>
      </c>
      <c r="C293" t="s">
        <v>35</v>
      </c>
      <c r="D293" s="10">
        <f>DATE(All_India_Index_Upto_April23__13[[#This Row],[Year]],All_India_Index_Upto_April23__13[[#This Row],[Month Number]],1)</f>
        <v>44256</v>
      </c>
      <c r="E293" s="2" t="str">
        <f>IF(All_India_Index_Upto_April23__13[[#This Row],[Date]]&lt;DATE(2020, 3, 1),"Pre-COVID","Post-COVID")</f>
        <v>Post-COVID</v>
      </c>
      <c r="F293">
        <v>142.5</v>
      </c>
      <c r="G293">
        <v>189.4</v>
      </c>
      <c r="H293">
        <v>163.19999999999999</v>
      </c>
      <c r="I293">
        <v>154.5</v>
      </c>
      <c r="J293">
        <v>168.2</v>
      </c>
      <c r="K293">
        <v>150.5</v>
      </c>
      <c r="L293">
        <v>141</v>
      </c>
      <c r="M293">
        <v>159.19999999999999</v>
      </c>
      <c r="N293">
        <v>111.7</v>
      </c>
      <c r="O293">
        <v>164</v>
      </c>
      <c r="P293">
        <v>160.6</v>
      </c>
      <c r="Q293">
        <v>166.4</v>
      </c>
      <c r="R293">
        <v>154.5</v>
      </c>
      <c r="S293">
        <v>186.1</v>
      </c>
      <c r="T293">
        <v>159.6</v>
      </c>
      <c r="U293">
        <v>154.4</v>
      </c>
      <c r="V293">
        <v>158.9</v>
      </c>
      <c r="W293" s="3">
        <v>141</v>
      </c>
      <c r="X293">
        <v>156</v>
      </c>
      <c r="Y293">
        <v>154.80000000000001</v>
      </c>
      <c r="Z293">
        <v>164.6</v>
      </c>
      <c r="AA293">
        <v>151.30000000000001</v>
      </c>
      <c r="AB293">
        <v>157.80000000000001</v>
      </c>
      <c r="AC293">
        <v>163.80000000000001</v>
      </c>
      <c r="AD293">
        <v>153.1</v>
      </c>
      <c r="AE293">
        <v>157.30000000000001</v>
      </c>
      <c r="AF293">
        <v>156.69999999999999</v>
      </c>
      <c r="AG29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94" spans="1:33" hidden="1" x14ac:dyDescent="0.3">
      <c r="A294" t="s">
        <v>32</v>
      </c>
      <c r="B294">
        <v>2021</v>
      </c>
      <c r="C294" t="s">
        <v>35</v>
      </c>
      <c r="D294" s="10">
        <f>DATE(All_India_Index_Upto_April23__13[[#This Row],[Year]],All_India_Index_Upto_April23__13[[#This Row],[Month Number]],1)</f>
        <v>44256</v>
      </c>
      <c r="E294" s="2" t="str">
        <f>IF(All_India_Index_Upto_April23__13[[#This Row],[Date]]&lt;DATE(2020, 3, 1),"Pre-COVID","Post-COVID")</f>
        <v>Post-COVID</v>
      </c>
      <c r="F294">
        <v>147.5</v>
      </c>
      <c r="G294">
        <v>197.5</v>
      </c>
      <c r="H294">
        <v>164.7</v>
      </c>
      <c r="I294">
        <v>155.6</v>
      </c>
      <c r="J294">
        <v>156.4</v>
      </c>
      <c r="K294">
        <v>157.30000000000001</v>
      </c>
      <c r="L294">
        <v>166.1</v>
      </c>
      <c r="M294">
        <v>161.1</v>
      </c>
      <c r="N294">
        <v>114.3</v>
      </c>
      <c r="O294">
        <v>162.6</v>
      </c>
      <c r="P294">
        <v>150.69999999999999</v>
      </c>
      <c r="Q294">
        <v>170.3</v>
      </c>
      <c r="R294">
        <v>160.4</v>
      </c>
      <c r="S294">
        <v>193.5</v>
      </c>
      <c r="T294">
        <v>155.1</v>
      </c>
      <c r="U294">
        <v>138.69999999999999</v>
      </c>
      <c r="V294">
        <v>152.6</v>
      </c>
      <c r="W294" s="3">
        <v>159.9</v>
      </c>
      <c r="X294">
        <v>154.80000000000001</v>
      </c>
      <c r="Y294">
        <v>147.19999999999999</v>
      </c>
      <c r="Z294">
        <v>156.9</v>
      </c>
      <c r="AA294">
        <v>141.69999999999999</v>
      </c>
      <c r="AB294">
        <v>148.6</v>
      </c>
      <c r="AC294">
        <v>157.6</v>
      </c>
      <c r="AD294">
        <v>154.9</v>
      </c>
      <c r="AE294">
        <v>150</v>
      </c>
      <c r="AF294">
        <v>156.9</v>
      </c>
      <c r="AG29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95" spans="1:33" x14ac:dyDescent="0.3">
      <c r="A295" t="s">
        <v>33</v>
      </c>
      <c r="B295">
        <v>2015</v>
      </c>
      <c r="C295" t="s">
        <v>35</v>
      </c>
      <c r="D295" s="10">
        <f>DATE(All_India_Index_Upto_April23__13[[#This Row],[Year]],All_India_Index_Upto_April23__13[[#This Row],[Month Number]],1)</f>
        <v>42064</v>
      </c>
      <c r="E295" s="2" t="str">
        <f>IF(All_India_Index_Upto_April23__13[[#This Row],[Date]]&lt;DATE(2020, 3, 1),"Pre-COVID","Post-COVID")</f>
        <v>Pre-COVID</v>
      </c>
      <c r="F295">
        <v>123.5</v>
      </c>
      <c r="G295">
        <v>125.4</v>
      </c>
      <c r="H295">
        <v>116.8</v>
      </c>
      <c r="I295">
        <v>126</v>
      </c>
      <c r="J295">
        <v>109.2</v>
      </c>
      <c r="K295">
        <v>127.6</v>
      </c>
      <c r="L295">
        <v>129.19999999999999</v>
      </c>
      <c r="M295">
        <v>122.4</v>
      </c>
      <c r="N295">
        <v>97</v>
      </c>
      <c r="O295">
        <v>122.1</v>
      </c>
      <c r="P295">
        <v>118.1</v>
      </c>
      <c r="Q295">
        <v>128.4</v>
      </c>
      <c r="R295">
        <v>123.4</v>
      </c>
      <c r="S295">
        <v>125.8</v>
      </c>
      <c r="T295">
        <v>124.3</v>
      </c>
      <c r="U295">
        <v>120.4</v>
      </c>
      <c r="V295">
        <v>123.7</v>
      </c>
      <c r="W295" s="3">
        <v>118.6</v>
      </c>
      <c r="X295">
        <v>118.3</v>
      </c>
      <c r="Y295">
        <v>119.2</v>
      </c>
      <c r="Z295">
        <v>116.7</v>
      </c>
      <c r="AA295">
        <v>109.9</v>
      </c>
      <c r="AB295">
        <v>115.4</v>
      </c>
      <c r="AC295">
        <v>120.1</v>
      </c>
      <c r="AD295">
        <v>111</v>
      </c>
      <c r="AE295">
        <v>114.7</v>
      </c>
      <c r="AF295">
        <v>120.2</v>
      </c>
      <c r="AG29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296" spans="1:33" hidden="1" x14ac:dyDescent="0.3">
      <c r="A296" t="s">
        <v>30</v>
      </c>
      <c r="B296">
        <v>2021</v>
      </c>
      <c r="C296" t="s">
        <v>36</v>
      </c>
      <c r="D296" s="10">
        <f>DATE(All_India_Index_Upto_April23__13[[#This Row],[Year]],All_India_Index_Upto_April23__13[[#This Row],[Month Number]],1)</f>
        <v>44287</v>
      </c>
      <c r="E296" s="2" t="str">
        <f>IF(All_India_Index_Upto_April23__13[[#This Row],[Date]]&lt;DATE(2020, 3, 1),"Pre-COVID","Post-COVID")</f>
        <v>Post-COVID</v>
      </c>
      <c r="F296">
        <v>142.69999999999999</v>
      </c>
      <c r="G296">
        <v>195.5</v>
      </c>
      <c r="H296">
        <v>163.4</v>
      </c>
      <c r="I296">
        <v>155</v>
      </c>
      <c r="J296">
        <v>175.2</v>
      </c>
      <c r="K296">
        <v>160.6</v>
      </c>
      <c r="L296">
        <v>135.1</v>
      </c>
      <c r="M296">
        <v>161.1</v>
      </c>
      <c r="N296">
        <v>112.2</v>
      </c>
      <c r="O296">
        <v>164.4</v>
      </c>
      <c r="P296">
        <v>161.9</v>
      </c>
      <c r="Q296">
        <v>166.8</v>
      </c>
      <c r="R296">
        <v>155.6</v>
      </c>
      <c r="S296">
        <v>186.8</v>
      </c>
      <c r="T296">
        <v>160.69999999999999</v>
      </c>
      <c r="U296">
        <v>155.1</v>
      </c>
      <c r="V296">
        <v>159.9</v>
      </c>
      <c r="W296" s="3">
        <v>141</v>
      </c>
      <c r="X296">
        <v>156</v>
      </c>
      <c r="Y296">
        <v>155.5</v>
      </c>
      <c r="Z296">
        <v>165.3</v>
      </c>
      <c r="AA296">
        <v>151.69999999999999</v>
      </c>
      <c r="AB296">
        <v>158.6</v>
      </c>
      <c r="AC296">
        <v>164.1</v>
      </c>
      <c r="AD296">
        <v>154.6</v>
      </c>
      <c r="AE296">
        <v>158</v>
      </c>
      <c r="AF296">
        <v>157.6</v>
      </c>
      <c r="AG29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97" spans="1:33" hidden="1" x14ac:dyDescent="0.3">
      <c r="A297" t="s">
        <v>32</v>
      </c>
      <c r="B297">
        <v>2021</v>
      </c>
      <c r="C297" t="s">
        <v>36</v>
      </c>
      <c r="D297" s="10">
        <f>DATE(All_India_Index_Upto_April23__13[[#This Row],[Year]],All_India_Index_Upto_April23__13[[#This Row],[Month Number]],1)</f>
        <v>44287</v>
      </c>
      <c r="E297" s="2" t="str">
        <f>IF(All_India_Index_Upto_April23__13[[#This Row],[Date]]&lt;DATE(2020, 3, 1),"Pre-COVID","Post-COVID")</f>
        <v>Post-COVID</v>
      </c>
      <c r="F297">
        <v>147.6</v>
      </c>
      <c r="G297">
        <v>202.5</v>
      </c>
      <c r="H297">
        <v>166.4</v>
      </c>
      <c r="I297">
        <v>156</v>
      </c>
      <c r="J297">
        <v>161.4</v>
      </c>
      <c r="K297">
        <v>168.8</v>
      </c>
      <c r="L297">
        <v>161.6</v>
      </c>
      <c r="M297">
        <v>162.80000000000001</v>
      </c>
      <c r="N297">
        <v>114.8</v>
      </c>
      <c r="O297">
        <v>162.80000000000001</v>
      </c>
      <c r="P297">
        <v>151.5</v>
      </c>
      <c r="Q297">
        <v>171.4</v>
      </c>
      <c r="R297">
        <v>162</v>
      </c>
      <c r="S297">
        <v>194.4</v>
      </c>
      <c r="T297">
        <v>155.9</v>
      </c>
      <c r="U297">
        <v>139.30000000000001</v>
      </c>
      <c r="V297">
        <v>153.4</v>
      </c>
      <c r="W297" s="3">
        <v>161.4</v>
      </c>
      <c r="X297">
        <v>154.9</v>
      </c>
      <c r="Y297">
        <v>147.6</v>
      </c>
      <c r="Z297">
        <v>157.5</v>
      </c>
      <c r="AA297">
        <v>142.1</v>
      </c>
      <c r="AB297">
        <v>149.1</v>
      </c>
      <c r="AC297">
        <v>157.6</v>
      </c>
      <c r="AD297">
        <v>156.6</v>
      </c>
      <c r="AE297">
        <v>150.5</v>
      </c>
      <c r="AF297">
        <v>158</v>
      </c>
      <c r="AG29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298" spans="1:33" x14ac:dyDescent="0.3">
      <c r="A298" t="s">
        <v>33</v>
      </c>
      <c r="B298">
        <v>2015</v>
      </c>
      <c r="C298" t="s">
        <v>34</v>
      </c>
      <c r="D298" s="10">
        <f>DATE(All_India_Index_Upto_April23__13[[#This Row],[Year]],All_India_Index_Upto_April23__13[[#This Row],[Month Number]],1)</f>
        <v>42036</v>
      </c>
      <c r="E298" s="2" t="str">
        <f>IF(All_India_Index_Upto_April23__13[[#This Row],[Date]]&lt;DATE(2020, 3, 1),"Pre-COVID","Post-COVID")</f>
        <v>Pre-COVID</v>
      </c>
      <c r="F298">
        <v>123.7</v>
      </c>
      <c r="G298">
        <v>125.1</v>
      </c>
      <c r="H298">
        <v>121.1</v>
      </c>
      <c r="I298">
        <v>125.7</v>
      </c>
      <c r="J298">
        <v>109.1</v>
      </c>
      <c r="K298">
        <v>125.8</v>
      </c>
      <c r="L298">
        <v>129.4</v>
      </c>
      <c r="M298">
        <v>120.9</v>
      </c>
      <c r="N298">
        <v>98.3</v>
      </c>
      <c r="O298">
        <v>121.6</v>
      </c>
      <c r="P298">
        <v>118</v>
      </c>
      <c r="Q298">
        <v>127.6</v>
      </c>
      <c r="R298">
        <v>123.1</v>
      </c>
      <c r="S298">
        <v>125.2</v>
      </c>
      <c r="T298">
        <v>123.8</v>
      </c>
      <c r="U298">
        <v>120.1</v>
      </c>
      <c r="V298">
        <v>123.3</v>
      </c>
      <c r="W298" s="3">
        <v>118.1</v>
      </c>
      <c r="X298">
        <v>117.7</v>
      </c>
      <c r="Y298">
        <v>118.7</v>
      </c>
      <c r="Z298">
        <v>116.3</v>
      </c>
      <c r="AA298">
        <v>108.7</v>
      </c>
      <c r="AB298">
        <v>114.9</v>
      </c>
      <c r="AC298">
        <v>119.7</v>
      </c>
      <c r="AD298">
        <v>111.2</v>
      </c>
      <c r="AE298">
        <v>114.1</v>
      </c>
      <c r="AF298">
        <v>119.7</v>
      </c>
      <c r="AG29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299" spans="1:33" hidden="1" x14ac:dyDescent="0.3">
      <c r="A299" t="s">
        <v>30</v>
      </c>
      <c r="B299">
        <v>2021</v>
      </c>
      <c r="C299" t="s">
        <v>37</v>
      </c>
      <c r="D299" s="10">
        <f>DATE(All_India_Index_Upto_April23__13[[#This Row],[Year]],All_India_Index_Upto_April23__13[[#This Row],[Month Number]],1)</f>
        <v>44317</v>
      </c>
      <c r="E299" s="2" t="str">
        <f>IF(All_India_Index_Upto_April23__13[[#This Row],[Date]]&lt;DATE(2020, 3, 1),"Pre-COVID","Post-COVID")</f>
        <v>Post-COVID</v>
      </c>
      <c r="F299">
        <v>145.1</v>
      </c>
      <c r="G299">
        <v>198.5</v>
      </c>
      <c r="H299">
        <v>168.6</v>
      </c>
      <c r="I299">
        <v>155.80000000000001</v>
      </c>
      <c r="J299">
        <v>184.4</v>
      </c>
      <c r="K299">
        <v>162.30000000000001</v>
      </c>
      <c r="L299">
        <v>138.4</v>
      </c>
      <c r="M299">
        <v>165.1</v>
      </c>
      <c r="N299">
        <v>114.3</v>
      </c>
      <c r="O299">
        <v>169.7</v>
      </c>
      <c r="P299">
        <v>164.6</v>
      </c>
      <c r="Q299">
        <v>169.8</v>
      </c>
      <c r="R299">
        <v>158.69999999999999</v>
      </c>
      <c r="S299">
        <v>189.6</v>
      </c>
      <c r="T299">
        <v>165.3</v>
      </c>
      <c r="U299">
        <v>160.6</v>
      </c>
      <c r="V299">
        <v>164.5</v>
      </c>
      <c r="W299" s="3">
        <v>141</v>
      </c>
      <c r="X299">
        <v>161.69999999999999</v>
      </c>
      <c r="Y299">
        <v>158.80000000000001</v>
      </c>
      <c r="Z299">
        <v>169.1</v>
      </c>
      <c r="AA299">
        <v>153.19999999999999</v>
      </c>
      <c r="AB299">
        <v>160</v>
      </c>
      <c r="AC299">
        <v>167.6</v>
      </c>
      <c r="AD299">
        <v>159.30000000000001</v>
      </c>
      <c r="AE299">
        <v>161.1</v>
      </c>
      <c r="AF299">
        <v>161.1</v>
      </c>
      <c r="AG29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00" spans="1:33" hidden="1" x14ac:dyDescent="0.3">
      <c r="A300" t="s">
        <v>32</v>
      </c>
      <c r="B300">
        <v>2021</v>
      </c>
      <c r="C300" t="s">
        <v>37</v>
      </c>
      <c r="D300" s="10">
        <f>DATE(All_India_Index_Upto_April23__13[[#This Row],[Year]],All_India_Index_Upto_April23__13[[#This Row],[Month Number]],1)</f>
        <v>44317</v>
      </c>
      <c r="E300" s="2" t="str">
        <f>IF(All_India_Index_Upto_April23__13[[#This Row],[Date]]&lt;DATE(2020, 3, 1),"Pre-COVID","Post-COVID")</f>
        <v>Post-COVID</v>
      </c>
      <c r="F300">
        <v>148.80000000000001</v>
      </c>
      <c r="G300">
        <v>204.3</v>
      </c>
      <c r="H300">
        <v>173</v>
      </c>
      <c r="I300">
        <v>156.5</v>
      </c>
      <c r="J300">
        <v>168.8</v>
      </c>
      <c r="K300">
        <v>172.5</v>
      </c>
      <c r="L300">
        <v>166.5</v>
      </c>
      <c r="M300">
        <v>165.9</v>
      </c>
      <c r="N300">
        <v>115.9</v>
      </c>
      <c r="O300">
        <v>165.2</v>
      </c>
      <c r="P300">
        <v>152</v>
      </c>
      <c r="Q300">
        <v>171.1</v>
      </c>
      <c r="R300">
        <v>164.2</v>
      </c>
      <c r="S300">
        <v>198.2</v>
      </c>
      <c r="T300">
        <v>156.5</v>
      </c>
      <c r="U300">
        <v>140.19999999999999</v>
      </c>
      <c r="V300">
        <v>154.1</v>
      </c>
      <c r="W300" s="3">
        <v>161.6</v>
      </c>
      <c r="X300">
        <v>155.5</v>
      </c>
      <c r="Y300">
        <v>150.1</v>
      </c>
      <c r="Z300">
        <v>160.4</v>
      </c>
      <c r="AA300">
        <v>145</v>
      </c>
      <c r="AB300">
        <v>152.6</v>
      </c>
      <c r="AC300">
        <v>156.6</v>
      </c>
      <c r="AD300">
        <v>157.5</v>
      </c>
      <c r="AE300">
        <v>152.30000000000001</v>
      </c>
      <c r="AF300">
        <v>159.5</v>
      </c>
      <c r="AG30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01" spans="1:33" x14ac:dyDescent="0.3">
      <c r="A301" t="s">
        <v>33</v>
      </c>
      <c r="B301">
        <v>2015</v>
      </c>
      <c r="C301" t="s">
        <v>31</v>
      </c>
      <c r="D301" s="10">
        <f>DATE(All_India_Index_Upto_April23__13[[#This Row],[Year]],All_India_Index_Upto_April23__13[[#This Row],[Month Number]],1)</f>
        <v>42005</v>
      </c>
      <c r="E301" s="2" t="str">
        <f>IF(All_India_Index_Upto_April23__13[[#This Row],[Date]]&lt;DATE(2020, 3, 1),"Pre-COVID","Post-COVID")</f>
        <v>Pre-COVID</v>
      </c>
      <c r="F301">
        <v>123.4</v>
      </c>
      <c r="G301">
        <v>123.9</v>
      </c>
      <c r="H301">
        <v>123.8</v>
      </c>
      <c r="I301">
        <v>125</v>
      </c>
      <c r="J301">
        <v>108.5</v>
      </c>
      <c r="K301">
        <v>126.2</v>
      </c>
      <c r="L301">
        <v>133</v>
      </c>
      <c r="M301">
        <v>119.1</v>
      </c>
      <c r="N301">
        <v>99</v>
      </c>
      <c r="O301">
        <v>120.3</v>
      </c>
      <c r="P301">
        <v>117.3</v>
      </c>
      <c r="Q301">
        <v>126.7</v>
      </c>
      <c r="R301">
        <v>123.1</v>
      </c>
      <c r="S301">
        <v>124</v>
      </c>
      <c r="T301">
        <v>123.1</v>
      </c>
      <c r="U301">
        <v>119.3</v>
      </c>
      <c r="V301">
        <v>122.5</v>
      </c>
      <c r="W301" s="3">
        <v>117.3</v>
      </c>
      <c r="X301">
        <v>116.5</v>
      </c>
      <c r="Y301">
        <v>118.1</v>
      </c>
      <c r="Z301">
        <v>115.5</v>
      </c>
      <c r="AA301">
        <v>109.4</v>
      </c>
      <c r="AB301">
        <v>114.3</v>
      </c>
      <c r="AC301">
        <v>119.7</v>
      </c>
      <c r="AD301">
        <v>110.7</v>
      </c>
      <c r="AE301">
        <v>114</v>
      </c>
      <c r="AF301">
        <v>119.5</v>
      </c>
      <c r="AG30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02" spans="1:33" hidden="1" x14ac:dyDescent="0.3">
      <c r="A302" t="s">
        <v>30</v>
      </c>
      <c r="B302">
        <v>2021</v>
      </c>
      <c r="C302" t="s">
        <v>38</v>
      </c>
      <c r="D302" s="10">
        <f>DATE(All_India_Index_Upto_April23__13[[#This Row],[Year]],All_India_Index_Upto_April23__13[[#This Row],[Month Number]],1)</f>
        <v>44348</v>
      </c>
      <c r="E302" s="2" t="str">
        <f>IF(All_India_Index_Upto_April23__13[[#This Row],[Date]]&lt;DATE(2020, 3, 1),"Pre-COVID","Post-COVID")</f>
        <v>Post-COVID</v>
      </c>
      <c r="F302">
        <v>145.6</v>
      </c>
      <c r="G302">
        <v>200.1</v>
      </c>
      <c r="H302">
        <v>179.3</v>
      </c>
      <c r="I302">
        <v>156.1</v>
      </c>
      <c r="J302">
        <v>190.4</v>
      </c>
      <c r="K302">
        <v>158.6</v>
      </c>
      <c r="L302">
        <v>144.69999999999999</v>
      </c>
      <c r="M302">
        <v>165.5</v>
      </c>
      <c r="N302">
        <v>114.6</v>
      </c>
      <c r="O302">
        <v>170</v>
      </c>
      <c r="P302">
        <v>165.5</v>
      </c>
      <c r="Q302">
        <v>171.7</v>
      </c>
      <c r="R302">
        <v>160.5</v>
      </c>
      <c r="S302">
        <v>189.1</v>
      </c>
      <c r="T302">
        <v>165.3</v>
      </c>
      <c r="U302">
        <v>159.9</v>
      </c>
      <c r="V302">
        <v>164.6</v>
      </c>
      <c r="W302" s="3">
        <v>141</v>
      </c>
      <c r="X302">
        <v>162.1</v>
      </c>
      <c r="Y302">
        <v>159.19999999999999</v>
      </c>
      <c r="Z302">
        <v>169.7</v>
      </c>
      <c r="AA302">
        <v>154.19999999999999</v>
      </c>
      <c r="AB302">
        <v>160.4</v>
      </c>
      <c r="AC302">
        <v>166.8</v>
      </c>
      <c r="AD302">
        <v>159.4</v>
      </c>
      <c r="AE302">
        <v>161.5</v>
      </c>
      <c r="AF302">
        <v>162.1</v>
      </c>
      <c r="AG30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03" spans="1:33" hidden="1" x14ac:dyDescent="0.3">
      <c r="A303" t="s">
        <v>32</v>
      </c>
      <c r="B303">
        <v>2021</v>
      </c>
      <c r="C303" t="s">
        <v>38</v>
      </c>
      <c r="D303" s="10">
        <f>DATE(All_India_Index_Upto_April23__13[[#This Row],[Year]],All_India_Index_Upto_April23__13[[#This Row],[Month Number]],1)</f>
        <v>44348</v>
      </c>
      <c r="E303" s="2" t="str">
        <f>IF(All_India_Index_Upto_April23__13[[#This Row],[Date]]&lt;DATE(2020, 3, 1),"Pre-COVID","Post-COVID")</f>
        <v>Post-COVID</v>
      </c>
      <c r="F303">
        <v>149.19999999999999</v>
      </c>
      <c r="G303">
        <v>205.5</v>
      </c>
      <c r="H303">
        <v>182.8</v>
      </c>
      <c r="I303">
        <v>156.5</v>
      </c>
      <c r="J303">
        <v>172.2</v>
      </c>
      <c r="K303">
        <v>171.5</v>
      </c>
      <c r="L303">
        <v>176.2</v>
      </c>
      <c r="M303">
        <v>166.9</v>
      </c>
      <c r="N303">
        <v>116.1</v>
      </c>
      <c r="O303">
        <v>165.5</v>
      </c>
      <c r="P303">
        <v>152.30000000000001</v>
      </c>
      <c r="Q303">
        <v>173.3</v>
      </c>
      <c r="R303">
        <v>166.2</v>
      </c>
      <c r="S303">
        <v>195.6</v>
      </c>
      <c r="T303">
        <v>157.30000000000001</v>
      </c>
      <c r="U303">
        <v>140.5</v>
      </c>
      <c r="V303">
        <v>154.80000000000001</v>
      </c>
      <c r="W303" s="3">
        <v>160.5</v>
      </c>
      <c r="X303">
        <v>156.1</v>
      </c>
      <c r="Y303">
        <v>149.80000000000001</v>
      </c>
      <c r="Z303">
        <v>160.80000000000001</v>
      </c>
      <c r="AA303">
        <v>147.5</v>
      </c>
      <c r="AB303">
        <v>150.69999999999999</v>
      </c>
      <c r="AC303">
        <v>158.1</v>
      </c>
      <c r="AD303">
        <v>158</v>
      </c>
      <c r="AE303">
        <v>153.4</v>
      </c>
      <c r="AF303">
        <v>160.4</v>
      </c>
      <c r="AG30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04" spans="1:33" x14ac:dyDescent="0.3">
      <c r="A304" t="s">
        <v>33</v>
      </c>
      <c r="B304">
        <v>2014</v>
      </c>
      <c r="C304" t="s">
        <v>44</v>
      </c>
      <c r="D304" s="10">
        <f>DATE(All_India_Index_Upto_April23__13[[#This Row],[Year]],All_India_Index_Upto_April23__13[[#This Row],[Month Number]],1)</f>
        <v>41974</v>
      </c>
      <c r="E304" s="2" t="str">
        <f>IF(All_India_Index_Upto_April23__13[[#This Row],[Date]]&lt;DATE(2020, 3, 1),"Pre-COVID","Post-COVID")</f>
        <v>Pre-COVID</v>
      </c>
      <c r="F304">
        <v>122.9</v>
      </c>
      <c r="G304">
        <v>123.2</v>
      </c>
      <c r="H304">
        <v>123.5</v>
      </c>
      <c r="I304">
        <v>124.5</v>
      </c>
      <c r="J304">
        <v>107.6</v>
      </c>
      <c r="K304">
        <v>125.7</v>
      </c>
      <c r="L304">
        <v>140.5</v>
      </c>
      <c r="M304">
        <v>117.6</v>
      </c>
      <c r="N304">
        <v>100.6</v>
      </c>
      <c r="O304">
        <v>119.1</v>
      </c>
      <c r="P304">
        <v>116.8</v>
      </c>
      <c r="Q304">
        <v>126.1</v>
      </c>
      <c r="R304">
        <v>123.6</v>
      </c>
      <c r="S304">
        <v>123</v>
      </c>
      <c r="T304">
        <v>122.6</v>
      </c>
      <c r="U304">
        <v>118.6</v>
      </c>
      <c r="V304">
        <v>122</v>
      </c>
      <c r="W304" s="3">
        <v>116.5</v>
      </c>
      <c r="X304">
        <v>115.7</v>
      </c>
      <c r="Y304">
        <v>117.5</v>
      </c>
      <c r="Z304">
        <v>115.1</v>
      </c>
      <c r="AA304">
        <v>110.1</v>
      </c>
      <c r="AB304">
        <v>113.9</v>
      </c>
      <c r="AC304">
        <v>119.5</v>
      </c>
      <c r="AD304">
        <v>109.8</v>
      </c>
      <c r="AE304">
        <v>113.8</v>
      </c>
      <c r="AF304">
        <v>119.4</v>
      </c>
      <c r="AG30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05" spans="1:33" hidden="1" x14ac:dyDescent="0.3">
      <c r="A305" t="s">
        <v>30</v>
      </c>
      <c r="B305">
        <v>2021</v>
      </c>
      <c r="C305" t="s">
        <v>39</v>
      </c>
      <c r="D305" s="10">
        <f>DATE(All_India_Index_Upto_April23__13[[#This Row],[Year]],All_India_Index_Upto_April23__13[[#This Row],[Month Number]],1)</f>
        <v>44378</v>
      </c>
      <c r="E305" s="2" t="str">
        <f>IF(All_India_Index_Upto_April23__13[[#This Row],[Date]]&lt;DATE(2020, 3, 1),"Pre-COVID","Post-COVID")</f>
        <v>Post-COVID</v>
      </c>
      <c r="F305">
        <v>145.1</v>
      </c>
      <c r="G305">
        <v>204.5</v>
      </c>
      <c r="H305">
        <v>180.4</v>
      </c>
      <c r="I305">
        <v>157.1</v>
      </c>
      <c r="J305">
        <v>188.7</v>
      </c>
      <c r="K305">
        <v>157.69999999999999</v>
      </c>
      <c r="L305">
        <v>152.80000000000001</v>
      </c>
      <c r="M305">
        <v>163.6</v>
      </c>
      <c r="N305">
        <v>113.9</v>
      </c>
      <c r="O305">
        <v>169.7</v>
      </c>
      <c r="P305">
        <v>166.2</v>
      </c>
      <c r="Q305">
        <v>171</v>
      </c>
      <c r="R305">
        <v>161.69999999999999</v>
      </c>
      <c r="S305">
        <v>189.7</v>
      </c>
      <c r="T305">
        <v>166</v>
      </c>
      <c r="U305">
        <v>161.1</v>
      </c>
      <c r="V305">
        <v>165.3</v>
      </c>
      <c r="W305" s="3">
        <v>141</v>
      </c>
      <c r="X305">
        <v>162.5</v>
      </c>
      <c r="Y305">
        <v>160.30000000000001</v>
      </c>
      <c r="Z305">
        <v>170.4</v>
      </c>
      <c r="AA305">
        <v>157.1</v>
      </c>
      <c r="AB305">
        <v>160.69999999999999</v>
      </c>
      <c r="AC305">
        <v>167.2</v>
      </c>
      <c r="AD305">
        <v>160.4</v>
      </c>
      <c r="AE305">
        <v>162.80000000000001</v>
      </c>
      <c r="AF305">
        <v>163.19999999999999</v>
      </c>
      <c r="AG30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06" spans="1:33" hidden="1" x14ac:dyDescent="0.3">
      <c r="A306" t="s">
        <v>32</v>
      </c>
      <c r="B306">
        <v>2021</v>
      </c>
      <c r="C306" t="s">
        <v>39</v>
      </c>
      <c r="D306" s="10">
        <f>DATE(All_India_Index_Upto_April23__13[[#This Row],[Year]],All_India_Index_Upto_April23__13[[#This Row],[Month Number]],1)</f>
        <v>44378</v>
      </c>
      <c r="E306" s="2" t="str">
        <f>IF(All_India_Index_Upto_April23__13[[#This Row],[Date]]&lt;DATE(2020, 3, 1),"Pre-COVID","Post-COVID")</f>
        <v>Post-COVID</v>
      </c>
      <c r="F306">
        <v>149.1</v>
      </c>
      <c r="G306">
        <v>210.9</v>
      </c>
      <c r="H306">
        <v>185</v>
      </c>
      <c r="I306">
        <v>158.19999999999999</v>
      </c>
      <c r="J306">
        <v>170.6</v>
      </c>
      <c r="K306">
        <v>170.9</v>
      </c>
      <c r="L306">
        <v>186.4</v>
      </c>
      <c r="M306">
        <v>164.7</v>
      </c>
      <c r="N306">
        <v>115.7</v>
      </c>
      <c r="O306">
        <v>165.5</v>
      </c>
      <c r="P306">
        <v>153.4</v>
      </c>
      <c r="Q306">
        <v>173.5</v>
      </c>
      <c r="R306">
        <v>167.9</v>
      </c>
      <c r="S306">
        <v>195.5</v>
      </c>
      <c r="T306">
        <v>157.9</v>
      </c>
      <c r="U306">
        <v>141.9</v>
      </c>
      <c r="V306">
        <v>155.5</v>
      </c>
      <c r="W306" s="3">
        <v>161.5</v>
      </c>
      <c r="X306">
        <v>157.69999999999999</v>
      </c>
      <c r="Y306">
        <v>150.69999999999999</v>
      </c>
      <c r="Z306">
        <v>161.5</v>
      </c>
      <c r="AA306">
        <v>149.5</v>
      </c>
      <c r="AB306">
        <v>151.19999999999999</v>
      </c>
      <c r="AC306">
        <v>160.30000000000001</v>
      </c>
      <c r="AD306">
        <v>159.6</v>
      </c>
      <c r="AE306">
        <v>155</v>
      </c>
      <c r="AF306">
        <v>161.80000000000001</v>
      </c>
      <c r="AG30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07" spans="1:33" x14ac:dyDescent="0.3">
      <c r="A307" t="s">
        <v>33</v>
      </c>
      <c r="B307">
        <v>2014</v>
      </c>
      <c r="C307" t="s">
        <v>43</v>
      </c>
      <c r="D307" s="10">
        <f>DATE(All_India_Index_Upto_April23__13[[#This Row],[Year]],All_India_Index_Upto_April23__13[[#This Row],[Month Number]],1)</f>
        <v>41944</v>
      </c>
      <c r="E307" s="2" t="str">
        <f>IF(All_India_Index_Upto_April23__13[[#This Row],[Date]]&lt;DATE(2020, 3, 1),"Pre-COVID","Post-COVID")</f>
        <v>Pre-COVID</v>
      </c>
      <c r="F307">
        <v>123.3</v>
      </c>
      <c r="G307">
        <v>123.7</v>
      </c>
      <c r="H307">
        <v>121</v>
      </c>
      <c r="I307">
        <v>124.2</v>
      </c>
      <c r="J307">
        <v>107.8</v>
      </c>
      <c r="K307">
        <v>125.7</v>
      </c>
      <c r="L307">
        <v>152.4</v>
      </c>
      <c r="M307">
        <v>117.2</v>
      </c>
      <c r="N307">
        <v>102.1</v>
      </c>
      <c r="O307">
        <v>118.7</v>
      </c>
      <c r="P307">
        <v>116.4</v>
      </c>
      <c r="Q307">
        <v>125.6</v>
      </c>
      <c r="R307">
        <v>125.1</v>
      </c>
      <c r="S307">
        <v>122.1</v>
      </c>
      <c r="T307">
        <v>122.1</v>
      </c>
      <c r="U307">
        <v>118.4</v>
      </c>
      <c r="V307">
        <v>121.6</v>
      </c>
      <c r="W307" s="3">
        <v>117.1</v>
      </c>
      <c r="X307">
        <v>115.5</v>
      </c>
      <c r="Y307">
        <v>117.3</v>
      </c>
      <c r="Z307">
        <v>114.8</v>
      </c>
      <c r="AA307">
        <v>110.8</v>
      </c>
      <c r="AB307">
        <v>113.7</v>
      </c>
      <c r="AC307">
        <v>119</v>
      </c>
      <c r="AD307">
        <v>109.1</v>
      </c>
      <c r="AE307">
        <v>113.8</v>
      </c>
      <c r="AF307">
        <v>120.1</v>
      </c>
      <c r="AG30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08" spans="1:33" hidden="1" x14ac:dyDescent="0.3">
      <c r="A308" t="s">
        <v>30</v>
      </c>
      <c r="B308">
        <v>2021</v>
      </c>
      <c r="C308" t="s">
        <v>40</v>
      </c>
      <c r="D308" s="10">
        <f>DATE(All_India_Index_Upto_April23__13[[#This Row],[Year]],All_India_Index_Upto_April23__13[[#This Row],[Month Number]],1)</f>
        <v>44409</v>
      </c>
      <c r="E308" s="2" t="str">
        <f>IF(All_India_Index_Upto_April23__13[[#This Row],[Date]]&lt;DATE(2020, 3, 1),"Pre-COVID","Post-COVID")</f>
        <v>Post-COVID</v>
      </c>
      <c r="F308">
        <v>144.9</v>
      </c>
      <c r="G308">
        <v>202.3</v>
      </c>
      <c r="H308">
        <v>176.5</v>
      </c>
      <c r="I308">
        <v>157.5</v>
      </c>
      <c r="J308">
        <v>190.9</v>
      </c>
      <c r="K308">
        <v>155.69999999999999</v>
      </c>
      <c r="L308">
        <v>153.9</v>
      </c>
      <c r="M308">
        <v>162.80000000000001</v>
      </c>
      <c r="N308">
        <v>115.2</v>
      </c>
      <c r="O308">
        <v>169.8</v>
      </c>
      <c r="P308">
        <v>167.6</v>
      </c>
      <c r="Q308">
        <v>171.9</v>
      </c>
      <c r="R308">
        <v>161.80000000000001</v>
      </c>
      <c r="S308">
        <v>190.2</v>
      </c>
      <c r="T308">
        <v>167</v>
      </c>
      <c r="U308">
        <v>162.6</v>
      </c>
      <c r="V308">
        <v>166.3</v>
      </c>
      <c r="W308" s="3">
        <v>141</v>
      </c>
      <c r="X308">
        <v>163.1</v>
      </c>
      <c r="Y308">
        <v>160.9</v>
      </c>
      <c r="Z308">
        <v>171.1</v>
      </c>
      <c r="AA308">
        <v>157.69999999999999</v>
      </c>
      <c r="AB308">
        <v>161.1</v>
      </c>
      <c r="AC308">
        <v>167.5</v>
      </c>
      <c r="AD308">
        <v>160.30000000000001</v>
      </c>
      <c r="AE308">
        <v>163.30000000000001</v>
      </c>
      <c r="AF308">
        <v>163.6</v>
      </c>
      <c r="AG30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09" spans="1:33" hidden="1" x14ac:dyDescent="0.3">
      <c r="A309" t="s">
        <v>32</v>
      </c>
      <c r="B309">
        <v>2021</v>
      </c>
      <c r="C309" t="s">
        <v>40</v>
      </c>
      <c r="D309" s="10">
        <f>DATE(All_India_Index_Upto_April23__13[[#This Row],[Year]],All_India_Index_Upto_April23__13[[#This Row],[Month Number]],1)</f>
        <v>44409</v>
      </c>
      <c r="E309" s="2" t="str">
        <f>IF(All_India_Index_Upto_April23__13[[#This Row],[Date]]&lt;DATE(2020, 3, 1),"Pre-COVID","Post-COVID")</f>
        <v>Post-COVID</v>
      </c>
      <c r="F309">
        <v>149.30000000000001</v>
      </c>
      <c r="G309">
        <v>207.4</v>
      </c>
      <c r="H309">
        <v>174.1</v>
      </c>
      <c r="I309">
        <v>159.19999999999999</v>
      </c>
      <c r="J309">
        <v>175</v>
      </c>
      <c r="K309">
        <v>161.30000000000001</v>
      </c>
      <c r="L309">
        <v>183.3</v>
      </c>
      <c r="M309">
        <v>164.5</v>
      </c>
      <c r="N309">
        <v>120.4</v>
      </c>
      <c r="O309">
        <v>166.2</v>
      </c>
      <c r="P309">
        <v>154.80000000000001</v>
      </c>
      <c r="Q309">
        <v>175.1</v>
      </c>
      <c r="R309">
        <v>167.3</v>
      </c>
      <c r="S309">
        <v>196.5</v>
      </c>
      <c r="T309">
        <v>159.80000000000001</v>
      </c>
      <c r="U309">
        <v>143.6</v>
      </c>
      <c r="V309">
        <v>157.30000000000001</v>
      </c>
      <c r="W309" s="3">
        <v>162.1</v>
      </c>
      <c r="X309">
        <v>160.69999999999999</v>
      </c>
      <c r="Y309">
        <v>153.19999999999999</v>
      </c>
      <c r="Z309">
        <v>162.80000000000001</v>
      </c>
      <c r="AA309">
        <v>150.4</v>
      </c>
      <c r="AB309">
        <v>153.69999999999999</v>
      </c>
      <c r="AC309">
        <v>160.4</v>
      </c>
      <c r="AD309">
        <v>159.6</v>
      </c>
      <c r="AE309">
        <v>156</v>
      </c>
      <c r="AF309">
        <v>162.30000000000001</v>
      </c>
      <c r="AG30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10" spans="1:33" x14ac:dyDescent="0.3">
      <c r="A310" t="s">
        <v>33</v>
      </c>
      <c r="B310">
        <v>2014</v>
      </c>
      <c r="C310" t="s">
        <v>42</v>
      </c>
      <c r="D310" s="10">
        <f>DATE(All_India_Index_Upto_April23__13[[#This Row],[Year]],All_India_Index_Upto_April23__13[[#This Row],[Month Number]],1)</f>
        <v>41913</v>
      </c>
      <c r="E310" s="2" t="str">
        <f>IF(All_India_Index_Upto_April23__13[[#This Row],[Date]]&lt;DATE(2020, 3, 1),"Pre-COVID","Post-COVID")</f>
        <v>Pre-COVID</v>
      </c>
      <c r="F310">
        <v>123.2</v>
      </c>
      <c r="G310">
        <v>123.8</v>
      </c>
      <c r="H310">
        <v>118.1</v>
      </c>
      <c r="I310">
        <v>123.2</v>
      </c>
      <c r="J310">
        <v>107.9</v>
      </c>
      <c r="K310">
        <v>126.4</v>
      </c>
      <c r="L310">
        <v>156.80000000000001</v>
      </c>
      <c r="M310">
        <v>116.1</v>
      </c>
      <c r="N310">
        <v>103.1</v>
      </c>
      <c r="O310">
        <v>118.1</v>
      </c>
      <c r="P310">
        <v>116.1</v>
      </c>
      <c r="Q310">
        <v>124.5</v>
      </c>
      <c r="R310">
        <v>125.4</v>
      </c>
      <c r="S310">
        <v>121.1</v>
      </c>
      <c r="T310">
        <v>121.5</v>
      </c>
      <c r="U310">
        <v>118.1</v>
      </c>
      <c r="V310">
        <v>121</v>
      </c>
      <c r="W310" s="3">
        <v>116.7</v>
      </c>
      <c r="X310">
        <v>114.7</v>
      </c>
      <c r="Y310">
        <v>116.7</v>
      </c>
      <c r="Z310">
        <v>114.3</v>
      </c>
      <c r="AA310">
        <v>111.8</v>
      </c>
      <c r="AB310">
        <v>113.3</v>
      </c>
      <c r="AC310">
        <v>118.8</v>
      </c>
      <c r="AD310">
        <v>109.6</v>
      </c>
      <c r="AE310">
        <v>113.9</v>
      </c>
      <c r="AF310">
        <v>120.1</v>
      </c>
      <c r="AG31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11" spans="1:33" hidden="1" x14ac:dyDescent="0.3">
      <c r="A311" t="s">
        <v>30</v>
      </c>
      <c r="B311">
        <v>2021</v>
      </c>
      <c r="C311" t="s">
        <v>41</v>
      </c>
      <c r="D311" s="10">
        <f>DATE(All_India_Index_Upto_April23__13[[#This Row],[Year]],All_India_Index_Upto_April23__13[[#This Row],[Month Number]],1)</f>
        <v>44440</v>
      </c>
      <c r="E311" s="2" t="str">
        <f>IF(All_India_Index_Upto_April23__13[[#This Row],[Date]]&lt;DATE(2020, 3, 1),"Pre-COVID","Post-COVID")</f>
        <v>Post-COVID</v>
      </c>
      <c r="F311">
        <v>145.4</v>
      </c>
      <c r="G311">
        <v>202.1</v>
      </c>
      <c r="H311">
        <v>172</v>
      </c>
      <c r="I311">
        <v>158</v>
      </c>
      <c r="J311">
        <v>195.5</v>
      </c>
      <c r="K311">
        <v>152.69999999999999</v>
      </c>
      <c r="L311">
        <v>151.4</v>
      </c>
      <c r="M311">
        <v>163.9</v>
      </c>
      <c r="N311">
        <v>119.3</v>
      </c>
      <c r="O311">
        <v>170.1</v>
      </c>
      <c r="P311">
        <v>168.3</v>
      </c>
      <c r="Q311">
        <v>172.8</v>
      </c>
      <c r="R311">
        <v>162.1</v>
      </c>
      <c r="S311">
        <v>190.5</v>
      </c>
      <c r="T311">
        <v>167.7</v>
      </c>
      <c r="U311">
        <v>163.6</v>
      </c>
      <c r="V311">
        <v>167.1</v>
      </c>
      <c r="W311" s="3">
        <v>141</v>
      </c>
      <c r="X311">
        <v>163.69999999999999</v>
      </c>
      <c r="Y311">
        <v>161.30000000000001</v>
      </c>
      <c r="Z311">
        <v>171.9</v>
      </c>
      <c r="AA311">
        <v>157.80000000000001</v>
      </c>
      <c r="AB311">
        <v>162.69999999999999</v>
      </c>
      <c r="AC311">
        <v>168.5</v>
      </c>
      <c r="AD311">
        <v>160.19999999999999</v>
      </c>
      <c r="AE311">
        <v>163.80000000000001</v>
      </c>
      <c r="AF311">
        <v>164</v>
      </c>
      <c r="AG31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12" spans="1:33" hidden="1" x14ac:dyDescent="0.3">
      <c r="A312" t="s">
        <v>32</v>
      </c>
      <c r="B312">
        <v>2021</v>
      </c>
      <c r="C312" t="s">
        <v>41</v>
      </c>
      <c r="D312" s="10">
        <f>DATE(All_India_Index_Upto_April23__13[[#This Row],[Year]],All_India_Index_Upto_April23__13[[#This Row],[Month Number]],1)</f>
        <v>44440</v>
      </c>
      <c r="E312" s="2" t="str">
        <f>IF(All_India_Index_Upto_April23__13[[#This Row],[Date]]&lt;DATE(2020, 3, 1),"Pre-COVID","Post-COVID")</f>
        <v>Post-COVID</v>
      </c>
      <c r="F312">
        <v>149.30000000000001</v>
      </c>
      <c r="G312">
        <v>207.4</v>
      </c>
      <c r="H312">
        <v>174.1</v>
      </c>
      <c r="I312">
        <v>159.1</v>
      </c>
      <c r="J312">
        <v>175</v>
      </c>
      <c r="K312">
        <v>161.19999999999999</v>
      </c>
      <c r="L312">
        <v>183.5</v>
      </c>
      <c r="M312">
        <v>164.5</v>
      </c>
      <c r="N312">
        <v>120.4</v>
      </c>
      <c r="O312">
        <v>166.2</v>
      </c>
      <c r="P312">
        <v>154.80000000000001</v>
      </c>
      <c r="Q312">
        <v>175.1</v>
      </c>
      <c r="R312">
        <v>167.3</v>
      </c>
      <c r="S312">
        <v>196.5</v>
      </c>
      <c r="T312">
        <v>159.80000000000001</v>
      </c>
      <c r="U312">
        <v>143.6</v>
      </c>
      <c r="V312">
        <v>157.4</v>
      </c>
      <c r="W312" s="3">
        <v>162.1</v>
      </c>
      <c r="X312">
        <v>160.80000000000001</v>
      </c>
      <c r="Y312">
        <v>153.30000000000001</v>
      </c>
      <c r="Z312">
        <v>162.80000000000001</v>
      </c>
      <c r="AA312">
        <v>150.5</v>
      </c>
      <c r="AB312">
        <v>153.9</v>
      </c>
      <c r="AC312">
        <v>160.30000000000001</v>
      </c>
      <c r="AD312">
        <v>159.6</v>
      </c>
      <c r="AE312">
        <v>156</v>
      </c>
      <c r="AF312">
        <v>162.30000000000001</v>
      </c>
      <c r="AG31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13" spans="1:33" x14ac:dyDescent="0.3">
      <c r="A313" t="s">
        <v>33</v>
      </c>
      <c r="B313">
        <v>2014</v>
      </c>
      <c r="C313" t="s">
        <v>41</v>
      </c>
      <c r="D313" s="10">
        <f>DATE(All_India_Index_Upto_April23__13[[#This Row],[Year]],All_India_Index_Upto_April23__13[[#This Row],[Month Number]],1)</f>
        <v>41883</v>
      </c>
      <c r="E313" s="2" t="str">
        <f>IF(All_India_Index_Upto_April23__13[[#This Row],[Date]]&lt;DATE(2020, 3, 1),"Pre-COVID","Post-COVID")</f>
        <v>Pre-COVID</v>
      </c>
      <c r="F313">
        <v>122.9</v>
      </c>
      <c r="G313">
        <v>123.5</v>
      </c>
      <c r="H313">
        <v>117.3</v>
      </c>
      <c r="I313">
        <v>122.7</v>
      </c>
      <c r="J313">
        <v>107.9</v>
      </c>
      <c r="K313">
        <v>127.3</v>
      </c>
      <c r="L313">
        <v>162.1</v>
      </c>
      <c r="M313">
        <v>115.6</v>
      </c>
      <c r="N313">
        <v>103.8</v>
      </c>
      <c r="O313">
        <v>117.6</v>
      </c>
      <c r="P313">
        <v>115.8</v>
      </c>
      <c r="Q313">
        <v>123.8</v>
      </c>
      <c r="R313">
        <v>125.8</v>
      </c>
      <c r="S313">
        <v>120.8</v>
      </c>
      <c r="T313">
        <v>120.7</v>
      </c>
      <c r="U313">
        <v>117.2</v>
      </c>
      <c r="V313">
        <v>120.1</v>
      </c>
      <c r="W313" s="3">
        <v>116.1</v>
      </c>
      <c r="X313">
        <v>114.3</v>
      </c>
      <c r="Y313">
        <v>116.1</v>
      </c>
      <c r="Z313">
        <v>113.7</v>
      </c>
      <c r="AA313">
        <v>112</v>
      </c>
      <c r="AB313">
        <v>113.1</v>
      </c>
      <c r="AC313">
        <v>118.6</v>
      </c>
      <c r="AD313">
        <v>109.5</v>
      </c>
      <c r="AE313">
        <v>113.7</v>
      </c>
      <c r="AF313">
        <v>120.1</v>
      </c>
      <c r="AG31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14" spans="1:33" hidden="1" x14ac:dyDescent="0.3">
      <c r="A314" t="s">
        <v>30</v>
      </c>
      <c r="B314">
        <v>2021</v>
      </c>
      <c r="C314" t="s">
        <v>42</v>
      </c>
      <c r="D314" s="10">
        <f>DATE(All_India_Index_Upto_April23__13[[#This Row],[Year]],All_India_Index_Upto_April23__13[[#This Row],[Month Number]],1)</f>
        <v>44470</v>
      </c>
      <c r="E314" s="2" t="str">
        <f>IF(All_India_Index_Upto_April23__13[[#This Row],[Date]]&lt;DATE(2020, 3, 1),"Pre-COVID","Post-COVID")</f>
        <v>Post-COVID</v>
      </c>
      <c r="F314">
        <v>146.1</v>
      </c>
      <c r="G314">
        <v>202.5</v>
      </c>
      <c r="H314">
        <v>170.1</v>
      </c>
      <c r="I314">
        <v>158.4</v>
      </c>
      <c r="J314">
        <v>198.8</v>
      </c>
      <c r="K314">
        <v>152.6</v>
      </c>
      <c r="L314">
        <v>170.4</v>
      </c>
      <c r="M314">
        <v>165.2</v>
      </c>
      <c r="N314">
        <v>121.6</v>
      </c>
      <c r="O314">
        <v>170.6</v>
      </c>
      <c r="P314">
        <v>168.8</v>
      </c>
      <c r="Q314">
        <v>173.6</v>
      </c>
      <c r="R314">
        <v>165.5</v>
      </c>
      <c r="S314">
        <v>191.2</v>
      </c>
      <c r="T314">
        <v>168.9</v>
      </c>
      <c r="U314">
        <v>164.8</v>
      </c>
      <c r="V314">
        <v>168.3</v>
      </c>
      <c r="W314" s="3">
        <v>141</v>
      </c>
      <c r="X314">
        <v>165.5</v>
      </c>
      <c r="Y314">
        <v>162</v>
      </c>
      <c r="Z314">
        <v>172.5</v>
      </c>
      <c r="AA314">
        <v>159.5</v>
      </c>
      <c r="AB314">
        <v>163.19999999999999</v>
      </c>
      <c r="AC314">
        <v>169</v>
      </c>
      <c r="AD314">
        <v>161.1</v>
      </c>
      <c r="AE314">
        <v>164.7</v>
      </c>
      <c r="AF314">
        <v>166.3</v>
      </c>
      <c r="AG31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15" spans="1:33" hidden="1" x14ac:dyDescent="0.3">
      <c r="A315" t="s">
        <v>32</v>
      </c>
      <c r="B315">
        <v>2021</v>
      </c>
      <c r="C315" t="s">
        <v>42</v>
      </c>
      <c r="D315" s="10">
        <f>DATE(All_India_Index_Upto_April23__13[[#This Row],[Year]],All_India_Index_Upto_April23__13[[#This Row],[Month Number]],1)</f>
        <v>44470</v>
      </c>
      <c r="E315" s="2" t="str">
        <f>IF(All_India_Index_Upto_April23__13[[#This Row],[Date]]&lt;DATE(2020, 3, 1),"Pre-COVID","Post-COVID")</f>
        <v>Post-COVID</v>
      </c>
      <c r="F315">
        <v>150.1</v>
      </c>
      <c r="G315">
        <v>208.4</v>
      </c>
      <c r="H315">
        <v>173</v>
      </c>
      <c r="I315">
        <v>159.19999999999999</v>
      </c>
      <c r="J315">
        <v>176.6</v>
      </c>
      <c r="K315">
        <v>159.30000000000001</v>
      </c>
      <c r="L315">
        <v>214.4</v>
      </c>
      <c r="M315">
        <v>165.3</v>
      </c>
      <c r="N315">
        <v>122.5</v>
      </c>
      <c r="O315">
        <v>166.8</v>
      </c>
      <c r="P315">
        <v>155.4</v>
      </c>
      <c r="Q315">
        <v>175.9</v>
      </c>
      <c r="R315">
        <v>171.5</v>
      </c>
      <c r="S315">
        <v>197</v>
      </c>
      <c r="T315">
        <v>160.80000000000001</v>
      </c>
      <c r="U315">
        <v>144.4</v>
      </c>
      <c r="V315">
        <v>158.30000000000001</v>
      </c>
      <c r="W315" s="3">
        <v>163.6</v>
      </c>
      <c r="X315">
        <v>162.19999999999999</v>
      </c>
      <c r="Y315">
        <v>154.30000000000001</v>
      </c>
      <c r="Z315">
        <v>163.5</v>
      </c>
      <c r="AA315">
        <v>152.19999999999999</v>
      </c>
      <c r="AB315">
        <v>155.1</v>
      </c>
      <c r="AC315">
        <v>160.30000000000001</v>
      </c>
      <c r="AD315">
        <v>160.30000000000001</v>
      </c>
      <c r="AE315">
        <v>157</v>
      </c>
      <c r="AF315">
        <v>164.6</v>
      </c>
      <c r="AG31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16" spans="1:33" x14ac:dyDescent="0.3">
      <c r="A316" t="s">
        <v>33</v>
      </c>
      <c r="B316">
        <v>2014</v>
      </c>
      <c r="C316" t="s">
        <v>40</v>
      </c>
      <c r="D316" s="10">
        <f>DATE(All_India_Index_Upto_April23__13[[#This Row],[Year]],All_India_Index_Upto_April23__13[[#This Row],[Month Number]],1)</f>
        <v>41852</v>
      </c>
      <c r="E316" s="2" t="str">
        <f>IF(All_India_Index_Upto_April23__13[[#This Row],[Date]]&lt;DATE(2020, 3, 1),"Pre-COVID","Post-COVID")</f>
        <v>Pre-COVID</v>
      </c>
      <c r="F316">
        <v>122.7</v>
      </c>
      <c r="G316">
        <v>124.4</v>
      </c>
      <c r="H316">
        <v>117.3</v>
      </c>
      <c r="I316">
        <v>122</v>
      </c>
      <c r="J316">
        <v>108</v>
      </c>
      <c r="K316">
        <v>131.1</v>
      </c>
      <c r="L316">
        <v>168.2</v>
      </c>
      <c r="M316">
        <v>114.5</v>
      </c>
      <c r="N316">
        <v>104.3</v>
      </c>
      <c r="O316">
        <v>117.1</v>
      </c>
      <c r="P316">
        <v>115.2</v>
      </c>
      <c r="Q316">
        <v>123.1</v>
      </c>
      <c r="R316">
        <v>126.6</v>
      </c>
      <c r="S316">
        <v>119.9</v>
      </c>
      <c r="T316">
        <v>120</v>
      </c>
      <c r="U316">
        <v>116.8</v>
      </c>
      <c r="V316">
        <v>119.6</v>
      </c>
      <c r="W316" s="3">
        <v>115.5</v>
      </c>
      <c r="X316">
        <v>114</v>
      </c>
      <c r="Y316">
        <v>115.6</v>
      </c>
      <c r="Z316">
        <v>113.3</v>
      </c>
      <c r="AA316">
        <v>112.8</v>
      </c>
      <c r="AB316">
        <v>112.6</v>
      </c>
      <c r="AC316">
        <v>118</v>
      </c>
      <c r="AD316">
        <v>109.9</v>
      </c>
      <c r="AE316">
        <v>113.7</v>
      </c>
      <c r="AF316">
        <v>120.3</v>
      </c>
      <c r="AG31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17" spans="1:33" hidden="1" x14ac:dyDescent="0.3">
      <c r="A317" t="s">
        <v>30</v>
      </c>
      <c r="B317">
        <v>2021</v>
      </c>
      <c r="C317" t="s">
        <v>43</v>
      </c>
      <c r="D317" s="10">
        <f>DATE(All_India_Index_Upto_April23__13[[#This Row],[Year]],All_India_Index_Upto_April23__13[[#This Row],[Month Number]],1)</f>
        <v>44501</v>
      </c>
      <c r="E317" s="2" t="str">
        <f>IF(All_India_Index_Upto_April23__13[[#This Row],[Date]]&lt;DATE(2020, 3, 1),"Pre-COVID","Post-COVID")</f>
        <v>Post-COVID</v>
      </c>
      <c r="F317">
        <v>146.9</v>
      </c>
      <c r="G317">
        <v>199.8</v>
      </c>
      <c r="H317">
        <v>171.5</v>
      </c>
      <c r="I317">
        <v>159.1</v>
      </c>
      <c r="J317">
        <v>198.4</v>
      </c>
      <c r="K317">
        <v>153.19999999999999</v>
      </c>
      <c r="L317">
        <v>183.9</v>
      </c>
      <c r="M317">
        <v>165.4</v>
      </c>
      <c r="N317">
        <v>122.1</v>
      </c>
      <c r="O317">
        <v>170.8</v>
      </c>
      <c r="P317">
        <v>169.1</v>
      </c>
      <c r="Q317">
        <v>174.3</v>
      </c>
      <c r="R317">
        <v>167.5</v>
      </c>
      <c r="S317">
        <v>191.4</v>
      </c>
      <c r="T317">
        <v>170.4</v>
      </c>
      <c r="U317">
        <v>166</v>
      </c>
      <c r="V317">
        <v>169.8</v>
      </c>
      <c r="W317" s="3">
        <v>141</v>
      </c>
      <c r="X317">
        <v>165.3</v>
      </c>
      <c r="Y317">
        <v>162.9</v>
      </c>
      <c r="Z317">
        <v>173.4</v>
      </c>
      <c r="AA317">
        <v>158.9</v>
      </c>
      <c r="AB317">
        <v>163.80000000000001</v>
      </c>
      <c r="AC317">
        <v>169.3</v>
      </c>
      <c r="AD317">
        <v>162.4</v>
      </c>
      <c r="AE317">
        <v>165.2</v>
      </c>
      <c r="AF317">
        <v>167.6</v>
      </c>
      <c r="AG31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18" spans="1:33" hidden="1" x14ac:dyDescent="0.3">
      <c r="A318" t="s">
        <v>32</v>
      </c>
      <c r="B318">
        <v>2021</v>
      </c>
      <c r="C318" t="s">
        <v>43</v>
      </c>
      <c r="D318" s="10">
        <f>DATE(All_India_Index_Upto_April23__13[[#This Row],[Year]],All_India_Index_Upto_April23__13[[#This Row],[Month Number]],1)</f>
        <v>44501</v>
      </c>
      <c r="E318" s="2" t="str">
        <f>IF(All_India_Index_Upto_April23__13[[#This Row],[Date]]&lt;DATE(2020, 3, 1),"Pre-COVID","Post-COVID")</f>
        <v>Post-COVID</v>
      </c>
      <c r="F318">
        <v>151</v>
      </c>
      <c r="G318">
        <v>204.9</v>
      </c>
      <c r="H318">
        <v>175.4</v>
      </c>
      <c r="I318">
        <v>159.6</v>
      </c>
      <c r="J318">
        <v>175.8</v>
      </c>
      <c r="K318">
        <v>160.30000000000001</v>
      </c>
      <c r="L318">
        <v>229.1</v>
      </c>
      <c r="M318">
        <v>165.1</v>
      </c>
      <c r="N318">
        <v>123.1</v>
      </c>
      <c r="O318">
        <v>167.2</v>
      </c>
      <c r="P318">
        <v>156.1</v>
      </c>
      <c r="Q318">
        <v>176.8</v>
      </c>
      <c r="R318">
        <v>173.5</v>
      </c>
      <c r="S318">
        <v>197</v>
      </c>
      <c r="T318">
        <v>162.30000000000001</v>
      </c>
      <c r="U318">
        <v>145.30000000000001</v>
      </c>
      <c r="V318">
        <v>159.69999999999999</v>
      </c>
      <c r="W318" s="3">
        <v>164.2</v>
      </c>
      <c r="X318">
        <v>161.6</v>
      </c>
      <c r="Y318">
        <v>155.19999999999999</v>
      </c>
      <c r="Z318">
        <v>164.2</v>
      </c>
      <c r="AA318">
        <v>151.19999999999999</v>
      </c>
      <c r="AB318">
        <v>156.69999999999999</v>
      </c>
      <c r="AC318">
        <v>160.80000000000001</v>
      </c>
      <c r="AD318">
        <v>161.80000000000001</v>
      </c>
      <c r="AE318">
        <v>157.30000000000001</v>
      </c>
      <c r="AF318">
        <v>165.6</v>
      </c>
      <c r="AG31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19" spans="1:33" x14ac:dyDescent="0.3">
      <c r="A319" t="s">
        <v>33</v>
      </c>
      <c r="B319">
        <v>2014</v>
      </c>
      <c r="C319" t="s">
        <v>39</v>
      </c>
      <c r="D319" s="10">
        <f>DATE(All_India_Index_Upto_April23__13[[#This Row],[Year]],All_India_Index_Upto_April23__13[[#This Row],[Month Number]],1)</f>
        <v>41821</v>
      </c>
      <c r="E319" s="2" t="str">
        <f>IF(All_India_Index_Upto_April23__13[[#This Row],[Date]]&lt;DATE(2020, 3, 1),"Pre-COVID","Post-COVID")</f>
        <v>Pre-COVID</v>
      </c>
      <c r="F319">
        <v>122.4</v>
      </c>
      <c r="G319">
        <v>123.9</v>
      </c>
      <c r="H319">
        <v>117.8</v>
      </c>
      <c r="I319">
        <v>121</v>
      </c>
      <c r="J319">
        <v>107.9</v>
      </c>
      <c r="K319">
        <v>131.19999999999999</v>
      </c>
      <c r="L319">
        <v>157.69999999999999</v>
      </c>
      <c r="M319">
        <v>113.2</v>
      </c>
      <c r="N319">
        <v>104.1</v>
      </c>
      <c r="O319">
        <v>115.5</v>
      </c>
      <c r="P319">
        <v>114.8</v>
      </c>
      <c r="Q319">
        <v>122.1</v>
      </c>
      <c r="R319">
        <v>124.7</v>
      </c>
      <c r="S319">
        <v>118.8</v>
      </c>
      <c r="T319">
        <v>119.6</v>
      </c>
      <c r="U319">
        <v>116.3</v>
      </c>
      <c r="V319">
        <v>119.1</v>
      </c>
      <c r="W319" s="3">
        <v>114.8</v>
      </c>
      <c r="X319">
        <v>113.9</v>
      </c>
      <c r="Y319">
        <v>115.2</v>
      </c>
      <c r="Z319">
        <v>112.7</v>
      </c>
      <c r="AA319">
        <v>113.1</v>
      </c>
      <c r="AB319">
        <v>112.1</v>
      </c>
      <c r="AC319">
        <v>116.8</v>
      </c>
      <c r="AD319">
        <v>109.2</v>
      </c>
      <c r="AE319">
        <v>113.3</v>
      </c>
      <c r="AF319">
        <v>119.2</v>
      </c>
      <c r="AG31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20" spans="1:33" hidden="1" x14ac:dyDescent="0.3">
      <c r="A320" t="s">
        <v>30</v>
      </c>
      <c r="B320">
        <v>2021</v>
      </c>
      <c r="C320" t="s">
        <v>44</v>
      </c>
      <c r="D320" s="10">
        <f>DATE(All_India_Index_Upto_April23__13[[#This Row],[Year]],All_India_Index_Upto_April23__13[[#This Row],[Month Number]],1)</f>
        <v>44531</v>
      </c>
      <c r="E320" s="2" t="str">
        <f>IF(All_India_Index_Upto_April23__13[[#This Row],[Date]]&lt;DATE(2020, 3, 1),"Pre-COVID","Post-COVID")</f>
        <v>Post-COVID</v>
      </c>
      <c r="F320">
        <v>147.4</v>
      </c>
      <c r="G320">
        <v>197</v>
      </c>
      <c r="H320">
        <v>176.5</v>
      </c>
      <c r="I320">
        <v>159.80000000000001</v>
      </c>
      <c r="J320">
        <v>195.8</v>
      </c>
      <c r="K320">
        <v>152</v>
      </c>
      <c r="L320">
        <v>172.3</v>
      </c>
      <c r="M320">
        <v>164.5</v>
      </c>
      <c r="N320">
        <v>120.6</v>
      </c>
      <c r="O320">
        <v>171.7</v>
      </c>
      <c r="P320">
        <v>169.7</v>
      </c>
      <c r="Q320">
        <v>175.1</v>
      </c>
      <c r="R320">
        <v>165.8</v>
      </c>
      <c r="S320">
        <v>190.8</v>
      </c>
      <c r="T320">
        <v>171.8</v>
      </c>
      <c r="U320">
        <v>167.3</v>
      </c>
      <c r="V320">
        <v>171.2</v>
      </c>
      <c r="W320" s="3">
        <v>141</v>
      </c>
      <c r="X320">
        <v>165.6</v>
      </c>
      <c r="Y320">
        <v>163.9</v>
      </c>
      <c r="Z320">
        <v>174</v>
      </c>
      <c r="AA320">
        <v>160.1</v>
      </c>
      <c r="AB320">
        <v>164.5</v>
      </c>
      <c r="AC320">
        <v>169.7</v>
      </c>
      <c r="AD320">
        <v>162.80000000000001</v>
      </c>
      <c r="AE320">
        <v>166</v>
      </c>
      <c r="AF320">
        <v>167</v>
      </c>
      <c r="AG32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21" spans="1:33" hidden="1" x14ac:dyDescent="0.3">
      <c r="A321" t="s">
        <v>32</v>
      </c>
      <c r="B321">
        <v>2021</v>
      </c>
      <c r="C321" t="s">
        <v>44</v>
      </c>
      <c r="D321" s="10">
        <f>DATE(All_India_Index_Upto_April23__13[[#This Row],[Year]],All_India_Index_Upto_April23__13[[#This Row],[Month Number]],1)</f>
        <v>44531</v>
      </c>
      <c r="E321" s="2" t="str">
        <f>IF(All_India_Index_Upto_April23__13[[#This Row],[Date]]&lt;DATE(2020, 3, 1),"Pre-COVID","Post-COVID")</f>
        <v>Post-COVID</v>
      </c>
      <c r="F321">
        <v>151.6</v>
      </c>
      <c r="G321">
        <v>202.2</v>
      </c>
      <c r="H321">
        <v>180</v>
      </c>
      <c r="I321">
        <v>160</v>
      </c>
      <c r="J321">
        <v>173.5</v>
      </c>
      <c r="K321">
        <v>158.30000000000001</v>
      </c>
      <c r="L321">
        <v>219.5</v>
      </c>
      <c r="M321">
        <v>164.2</v>
      </c>
      <c r="N321">
        <v>121.9</v>
      </c>
      <c r="O321">
        <v>168.2</v>
      </c>
      <c r="P321">
        <v>156.5</v>
      </c>
      <c r="Q321">
        <v>178.2</v>
      </c>
      <c r="R321">
        <v>172.2</v>
      </c>
      <c r="S321">
        <v>196.8</v>
      </c>
      <c r="T321">
        <v>163.30000000000001</v>
      </c>
      <c r="U321">
        <v>146.69999999999999</v>
      </c>
      <c r="V321">
        <v>160.69999999999999</v>
      </c>
      <c r="W321" s="3">
        <v>163.4</v>
      </c>
      <c r="X321">
        <v>161.69999999999999</v>
      </c>
      <c r="Y321">
        <v>156</v>
      </c>
      <c r="Z321">
        <v>165.1</v>
      </c>
      <c r="AA321">
        <v>151.80000000000001</v>
      </c>
      <c r="AB321">
        <v>157.6</v>
      </c>
      <c r="AC321">
        <v>160.6</v>
      </c>
      <c r="AD321">
        <v>162.4</v>
      </c>
      <c r="AE321">
        <v>157.80000000000001</v>
      </c>
      <c r="AF321">
        <v>165.2</v>
      </c>
      <c r="AG32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22" spans="1:33" x14ac:dyDescent="0.3">
      <c r="A322" t="s">
        <v>33</v>
      </c>
      <c r="B322">
        <v>2014</v>
      </c>
      <c r="C322" t="s">
        <v>38</v>
      </c>
      <c r="D322" s="10">
        <f>DATE(All_India_Index_Upto_April23__13[[#This Row],[Year]],All_India_Index_Upto_April23__13[[#This Row],[Month Number]],1)</f>
        <v>41791</v>
      </c>
      <c r="E322" s="2" t="str">
        <f>IF(All_India_Index_Upto_April23__13[[#This Row],[Date]]&lt;DATE(2020, 3, 1),"Pre-COVID","Post-COVID")</f>
        <v>Pre-COVID</v>
      </c>
      <c r="F322">
        <v>121.5</v>
      </c>
      <c r="G322">
        <v>123.1</v>
      </c>
      <c r="H322">
        <v>115.8</v>
      </c>
      <c r="I322">
        <v>119.7</v>
      </c>
      <c r="J322">
        <v>107.8</v>
      </c>
      <c r="K322">
        <v>128.30000000000001</v>
      </c>
      <c r="L322">
        <v>132.1</v>
      </c>
      <c r="M322">
        <v>112.4</v>
      </c>
      <c r="N322">
        <v>102.9</v>
      </c>
      <c r="O322">
        <v>114.3</v>
      </c>
      <c r="P322">
        <v>114.2</v>
      </c>
      <c r="Q322">
        <v>121.2</v>
      </c>
      <c r="R322">
        <v>120.4</v>
      </c>
      <c r="S322">
        <v>117.8</v>
      </c>
      <c r="T322">
        <v>118.8</v>
      </c>
      <c r="U322">
        <v>115.6</v>
      </c>
      <c r="V322">
        <v>118.3</v>
      </c>
      <c r="W322" s="3">
        <v>113.9</v>
      </c>
      <c r="X322">
        <v>113.2</v>
      </c>
      <c r="Y322">
        <v>114.6</v>
      </c>
      <c r="Z322">
        <v>112.3</v>
      </c>
      <c r="AA322">
        <v>111.8</v>
      </c>
      <c r="AB322">
        <v>111.6</v>
      </c>
      <c r="AC322">
        <v>114.8</v>
      </c>
      <c r="AD322">
        <v>108.3</v>
      </c>
      <c r="AE322">
        <v>112.3</v>
      </c>
      <c r="AF322">
        <v>116.7</v>
      </c>
      <c r="AG32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23" spans="1:33" hidden="1" x14ac:dyDescent="0.3">
      <c r="A323" t="s">
        <v>30</v>
      </c>
      <c r="B323">
        <v>2022</v>
      </c>
      <c r="C323" t="s">
        <v>31</v>
      </c>
      <c r="D323" s="10">
        <f>DATE(All_India_Index_Upto_April23__13[[#This Row],[Year]],All_India_Index_Upto_April23__13[[#This Row],[Month Number]],1)</f>
        <v>44562</v>
      </c>
      <c r="E323" s="2" t="str">
        <f>IF(All_India_Index_Upto_April23__13[[#This Row],[Date]]&lt;DATE(2020, 3, 1),"Pre-COVID","Post-COVID")</f>
        <v>Post-COVID</v>
      </c>
      <c r="F323">
        <v>148.30000000000001</v>
      </c>
      <c r="G323">
        <v>196.9</v>
      </c>
      <c r="H323">
        <v>178</v>
      </c>
      <c r="I323">
        <v>160.5</v>
      </c>
      <c r="J323">
        <v>192.6</v>
      </c>
      <c r="K323">
        <v>151.19999999999999</v>
      </c>
      <c r="L323">
        <v>159.19999999999999</v>
      </c>
      <c r="M323">
        <v>164</v>
      </c>
      <c r="N323">
        <v>119.3</v>
      </c>
      <c r="O323">
        <v>173.3</v>
      </c>
      <c r="P323">
        <v>169.8</v>
      </c>
      <c r="Q323">
        <v>175.8</v>
      </c>
      <c r="R323">
        <v>164.1</v>
      </c>
      <c r="S323">
        <v>190.7</v>
      </c>
      <c r="T323">
        <v>173.2</v>
      </c>
      <c r="U323">
        <v>169.3</v>
      </c>
      <c r="V323">
        <v>172.7</v>
      </c>
      <c r="W323" s="3">
        <v>141</v>
      </c>
      <c r="X323">
        <v>165.8</v>
      </c>
      <c r="Y323">
        <v>164.9</v>
      </c>
      <c r="Z323">
        <v>174.7</v>
      </c>
      <c r="AA323">
        <v>160.80000000000001</v>
      </c>
      <c r="AB323">
        <v>164.9</v>
      </c>
      <c r="AC323">
        <v>169.9</v>
      </c>
      <c r="AD323">
        <v>163.19999999999999</v>
      </c>
      <c r="AE323">
        <v>166.6</v>
      </c>
      <c r="AF323">
        <v>166.4</v>
      </c>
      <c r="AG32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24" spans="1:33" hidden="1" x14ac:dyDescent="0.3">
      <c r="A324" t="s">
        <v>32</v>
      </c>
      <c r="B324">
        <v>2022</v>
      </c>
      <c r="C324" t="s">
        <v>31</v>
      </c>
      <c r="D324" s="10">
        <f>DATE(All_India_Index_Upto_April23__13[[#This Row],[Year]],All_India_Index_Upto_April23__13[[#This Row],[Month Number]],1)</f>
        <v>44562</v>
      </c>
      <c r="E324" s="2" t="str">
        <f>IF(All_India_Index_Upto_April23__13[[#This Row],[Date]]&lt;DATE(2020, 3, 1),"Pre-COVID","Post-COVID")</f>
        <v>Post-COVID</v>
      </c>
      <c r="F324">
        <v>152.19999999999999</v>
      </c>
      <c r="G324">
        <v>202.1</v>
      </c>
      <c r="H324">
        <v>180.1</v>
      </c>
      <c r="I324">
        <v>160.4</v>
      </c>
      <c r="J324">
        <v>171</v>
      </c>
      <c r="K324">
        <v>156.5</v>
      </c>
      <c r="L324">
        <v>203.6</v>
      </c>
      <c r="M324">
        <v>163.80000000000001</v>
      </c>
      <c r="N324">
        <v>121.3</v>
      </c>
      <c r="O324">
        <v>169.8</v>
      </c>
      <c r="P324">
        <v>156.6</v>
      </c>
      <c r="Q324">
        <v>179</v>
      </c>
      <c r="R324">
        <v>170.3</v>
      </c>
      <c r="S324">
        <v>196.4</v>
      </c>
      <c r="T324">
        <v>164.7</v>
      </c>
      <c r="U324">
        <v>148.5</v>
      </c>
      <c r="V324">
        <v>162.19999999999999</v>
      </c>
      <c r="W324" s="3">
        <v>164.5</v>
      </c>
      <c r="X324">
        <v>161.6</v>
      </c>
      <c r="Y324">
        <v>156.80000000000001</v>
      </c>
      <c r="Z324">
        <v>166.1</v>
      </c>
      <c r="AA324">
        <v>152.69999999999999</v>
      </c>
      <c r="AB324">
        <v>158.4</v>
      </c>
      <c r="AC324">
        <v>161</v>
      </c>
      <c r="AD324">
        <v>162.80000000000001</v>
      </c>
      <c r="AE324">
        <v>158.6</v>
      </c>
      <c r="AF324">
        <v>165</v>
      </c>
      <c r="AG32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25" spans="1:33" x14ac:dyDescent="0.3">
      <c r="A325" t="s">
        <v>33</v>
      </c>
      <c r="B325">
        <v>2014</v>
      </c>
      <c r="C325" t="s">
        <v>37</v>
      </c>
      <c r="D325" s="10">
        <f>DATE(All_India_Index_Upto_April23__13[[#This Row],[Year]],All_India_Index_Upto_April23__13[[#This Row],[Month Number]],1)</f>
        <v>41760</v>
      </c>
      <c r="E325" s="2" t="str">
        <f>IF(All_India_Index_Upto_April23__13[[#This Row],[Date]]&lt;DATE(2020, 3, 1),"Pre-COVID","Post-COVID")</f>
        <v>Pre-COVID</v>
      </c>
      <c r="F325">
        <v>121.1</v>
      </c>
      <c r="G325">
        <v>121.6</v>
      </c>
      <c r="H325">
        <v>115.9</v>
      </c>
      <c r="I325">
        <v>118.4</v>
      </c>
      <c r="J325">
        <v>107.7</v>
      </c>
      <c r="K325">
        <v>127.7</v>
      </c>
      <c r="L325">
        <v>125</v>
      </c>
      <c r="M325">
        <v>111.9</v>
      </c>
      <c r="N325">
        <v>102.8</v>
      </c>
      <c r="O325">
        <v>113.4</v>
      </c>
      <c r="P325">
        <v>113.7</v>
      </c>
      <c r="Q325">
        <v>120.4</v>
      </c>
      <c r="R325">
        <v>118.9</v>
      </c>
      <c r="S325">
        <v>116.8</v>
      </c>
      <c r="T325">
        <v>118</v>
      </c>
      <c r="U325">
        <v>115.2</v>
      </c>
      <c r="V325">
        <v>117.6</v>
      </c>
      <c r="W325" s="3">
        <v>114.3</v>
      </c>
      <c r="X325">
        <v>112.5</v>
      </c>
      <c r="Y325">
        <v>114.1</v>
      </c>
      <c r="Z325">
        <v>111.8</v>
      </c>
      <c r="AA325">
        <v>111.3</v>
      </c>
      <c r="AB325">
        <v>111.2</v>
      </c>
      <c r="AC325">
        <v>113</v>
      </c>
      <c r="AD325">
        <v>109.1</v>
      </c>
      <c r="AE325">
        <v>111.8</v>
      </c>
      <c r="AF325">
        <v>115.8</v>
      </c>
      <c r="AG32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26" spans="1:33" hidden="1" x14ac:dyDescent="0.3">
      <c r="A326" t="s">
        <v>30</v>
      </c>
      <c r="B326">
        <v>2022</v>
      </c>
      <c r="C326" t="s">
        <v>34</v>
      </c>
      <c r="D326" s="10">
        <f>DATE(All_India_Index_Upto_April23__13[[#This Row],[Year]],All_India_Index_Upto_April23__13[[#This Row],[Month Number]],1)</f>
        <v>44593</v>
      </c>
      <c r="E326" s="2" t="str">
        <f>IF(All_India_Index_Upto_April23__13[[#This Row],[Date]]&lt;DATE(2020, 3, 1),"Pre-COVID","Post-COVID")</f>
        <v>Post-COVID</v>
      </c>
      <c r="F326">
        <v>148.80000000000001</v>
      </c>
      <c r="G326">
        <v>198.1</v>
      </c>
      <c r="H326">
        <v>175.5</v>
      </c>
      <c r="I326">
        <v>160.69999999999999</v>
      </c>
      <c r="J326">
        <v>192.6</v>
      </c>
      <c r="K326">
        <v>151.4</v>
      </c>
      <c r="L326">
        <v>155.19999999999999</v>
      </c>
      <c r="M326">
        <v>163.9</v>
      </c>
      <c r="N326">
        <v>118.1</v>
      </c>
      <c r="O326">
        <v>175.4</v>
      </c>
      <c r="P326">
        <v>170.5</v>
      </c>
      <c r="Q326">
        <v>176.3</v>
      </c>
      <c r="R326">
        <v>163.9</v>
      </c>
      <c r="S326">
        <v>191.5</v>
      </c>
      <c r="T326">
        <v>174.1</v>
      </c>
      <c r="U326">
        <v>171</v>
      </c>
      <c r="V326">
        <v>173.7</v>
      </c>
      <c r="W326" s="3">
        <v>141</v>
      </c>
      <c r="X326">
        <v>167.4</v>
      </c>
      <c r="Y326">
        <v>165.7</v>
      </c>
      <c r="Z326">
        <v>175.3</v>
      </c>
      <c r="AA326">
        <v>161.19999999999999</v>
      </c>
      <c r="AB326">
        <v>165.5</v>
      </c>
      <c r="AC326">
        <v>170.3</v>
      </c>
      <c r="AD326">
        <v>164.5</v>
      </c>
      <c r="AE326">
        <v>167.3</v>
      </c>
      <c r="AF326">
        <v>166.7</v>
      </c>
      <c r="AG32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27" spans="1:33" hidden="1" x14ac:dyDescent="0.3">
      <c r="A327" t="s">
        <v>32</v>
      </c>
      <c r="B327">
        <v>2022</v>
      </c>
      <c r="C327" t="s">
        <v>34</v>
      </c>
      <c r="D327" s="10">
        <f>DATE(All_India_Index_Upto_April23__13[[#This Row],[Year]],All_India_Index_Upto_April23__13[[#This Row],[Month Number]],1)</f>
        <v>44593</v>
      </c>
      <c r="E327" s="2" t="str">
        <f>IF(All_India_Index_Upto_April23__13[[#This Row],[Date]]&lt;DATE(2020, 3, 1),"Pre-COVID","Post-COVID")</f>
        <v>Post-COVID</v>
      </c>
      <c r="F327">
        <v>152.5</v>
      </c>
      <c r="G327">
        <v>205.2</v>
      </c>
      <c r="H327">
        <v>176.4</v>
      </c>
      <c r="I327">
        <v>160.6</v>
      </c>
      <c r="J327">
        <v>171.5</v>
      </c>
      <c r="K327">
        <v>156.4</v>
      </c>
      <c r="L327">
        <v>198</v>
      </c>
      <c r="M327">
        <v>163.19999999999999</v>
      </c>
      <c r="N327">
        <v>120.6</v>
      </c>
      <c r="O327">
        <v>172.2</v>
      </c>
      <c r="P327">
        <v>156.69999999999999</v>
      </c>
      <c r="Q327">
        <v>180</v>
      </c>
      <c r="R327">
        <v>170.2</v>
      </c>
      <c r="S327">
        <v>196.5</v>
      </c>
      <c r="T327">
        <v>165.7</v>
      </c>
      <c r="U327">
        <v>150.4</v>
      </c>
      <c r="V327">
        <v>163.4</v>
      </c>
      <c r="W327" s="3">
        <v>165.5</v>
      </c>
      <c r="X327">
        <v>163</v>
      </c>
      <c r="Y327">
        <v>157.4</v>
      </c>
      <c r="Z327">
        <v>167.2</v>
      </c>
      <c r="AA327">
        <v>153.1</v>
      </c>
      <c r="AB327">
        <v>159.5</v>
      </c>
      <c r="AC327">
        <v>162</v>
      </c>
      <c r="AD327">
        <v>164.2</v>
      </c>
      <c r="AE327">
        <v>159.4</v>
      </c>
      <c r="AF327">
        <v>165.5</v>
      </c>
      <c r="AG32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28" spans="1:33" x14ac:dyDescent="0.3">
      <c r="A328" t="s">
        <v>33</v>
      </c>
      <c r="B328">
        <v>2014</v>
      </c>
      <c r="C328" t="s">
        <v>36</v>
      </c>
      <c r="D328" s="10">
        <f>DATE(All_India_Index_Upto_April23__13[[#This Row],[Year]],All_India_Index_Upto_April23__13[[#This Row],[Month Number]],1)</f>
        <v>41730</v>
      </c>
      <c r="E328" s="2" t="str">
        <f>IF(All_India_Index_Upto_April23__13[[#This Row],[Date]]&lt;DATE(2020, 3, 1),"Pre-COVID","Post-COVID")</f>
        <v>Pre-COVID</v>
      </c>
      <c r="F328">
        <v>120.9</v>
      </c>
      <c r="G328">
        <v>119.9</v>
      </c>
      <c r="H328">
        <v>116.2</v>
      </c>
      <c r="I328">
        <v>117</v>
      </c>
      <c r="J328">
        <v>107.3</v>
      </c>
      <c r="K328">
        <v>126.1</v>
      </c>
      <c r="L328">
        <v>120.7</v>
      </c>
      <c r="M328">
        <v>111</v>
      </c>
      <c r="N328">
        <v>101.8</v>
      </c>
      <c r="O328">
        <v>112.6</v>
      </c>
      <c r="P328">
        <v>113.2</v>
      </c>
      <c r="Q328">
        <v>119.8</v>
      </c>
      <c r="R328">
        <v>117.6</v>
      </c>
      <c r="S328">
        <v>116</v>
      </c>
      <c r="T328">
        <v>117.4</v>
      </c>
      <c r="U328">
        <v>114.6</v>
      </c>
      <c r="V328">
        <v>117</v>
      </c>
      <c r="W328" s="3">
        <v>113.9</v>
      </c>
      <c r="X328">
        <v>112.5</v>
      </c>
      <c r="Y328">
        <v>113.6</v>
      </c>
      <c r="Z328">
        <v>111.5</v>
      </c>
      <c r="AA328">
        <v>111.2</v>
      </c>
      <c r="AB328">
        <v>110.9</v>
      </c>
      <c r="AC328">
        <v>112.7</v>
      </c>
      <c r="AD328">
        <v>109</v>
      </c>
      <c r="AE328">
        <v>111.5</v>
      </c>
      <c r="AF328">
        <v>115.1</v>
      </c>
      <c r="AG32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29" spans="1:33" hidden="1" x14ac:dyDescent="0.3">
      <c r="A329" t="s">
        <v>30</v>
      </c>
      <c r="B329">
        <v>2022</v>
      </c>
      <c r="C329" t="s">
        <v>35</v>
      </c>
      <c r="D329" s="10">
        <f>DATE(All_India_Index_Upto_April23__13[[#This Row],[Year]],All_India_Index_Upto_April23__13[[#This Row],[Month Number]],1)</f>
        <v>44621</v>
      </c>
      <c r="E329" s="2" t="str">
        <f>IF(All_India_Index_Upto_April23__13[[#This Row],[Date]]&lt;DATE(2020, 3, 1),"Pre-COVID","Post-COVID")</f>
        <v>Post-COVID</v>
      </c>
      <c r="F329">
        <v>150.19999999999999</v>
      </c>
      <c r="G329">
        <v>208</v>
      </c>
      <c r="H329">
        <v>167.9</v>
      </c>
      <c r="I329">
        <v>162</v>
      </c>
      <c r="J329">
        <v>203.1</v>
      </c>
      <c r="K329">
        <v>155.9</v>
      </c>
      <c r="L329">
        <v>155.80000000000001</v>
      </c>
      <c r="M329">
        <v>164.2</v>
      </c>
      <c r="N329">
        <v>118.1</v>
      </c>
      <c r="O329">
        <v>178.7</v>
      </c>
      <c r="P329">
        <v>171.2</v>
      </c>
      <c r="Q329">
        <v>177.4</v>
      </c>
      <c r="R329">
        <v>166.6</v>
      </c>
      <c r="S329">
        <v>192.3</v>
      </c>
      <c r="T329">
        <v>175.4</v>
      </c>
      <c r="U329">
        <v>173.2</v>
      </c>
      <c r="V329">
        <v>175.1</v>
      </c>
      <c r="W329" s="3">
        <v>141</v>
      </c>
      <c r="X329">
        <v>168.9</v>
      </c>
      <c r="Y329">
        <v>166.5</v>
      </c>
      <c r="Z329">
        <v>176</v>
      </c>
      <c r="AA329">
        <v>162</v>
      </c>
      <c r="AB329">
        <v>166.6</v>
      </c>
      <c r="AC329">
        <v>170.6</v>
      </c>
      <c r="AD329">
        <v>167.4</v>
      </c>
      <c r="AE329">
        <v>168.3</v>
      </c>
      <c r="AF329">
        <v>168.7</v>
      </c>
      <c r="AG32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30" spans="1:33" hidden="1" x14ac:dyDescent="0.3">
      <c r="A330" t="s">
        <v>32</v>
      </c>
      <c r="B330">
        <v>2022</v>
      </c>
      <c r="C330" t="s">
        <v>35</v>
      </c>
      <c r="D330" s="10">
        <f>DATE(All_India_Index_Upto_April23__13[[#This Row],[Year]],All_India_Index_Upto_April23__13[[#This Row],[Month Number]],1)</f>
        <v>44621</v>
      </c>
      <c r="E330" s="2" t="str">
        <f>IF(All_India_Index_Upto_April23__13[[#This Row],[Date]]&lt;DATE(2020, 3, 1),"Pre-COVID","Post-COVID")</f>
        <v>Post-COVID</v>
      </c>
      <c r="F330">
        <v>153.69999999999999</v>
      </c>
      <c r="G330">
        <v>215.8</v>
      </c>
      <c r="H330">
        <v>167.7</v>
      </c>
      <c r="I330">
        <v>162.6</v>
      </c>
      <c r="J330">
        <v>180</v>
      </c>
      <c r="K330">
        <v>159.6</v>
      </c>
      <c r="L330">
        <v>188.4</v>
      </c>
      <c r="M330">
        <v>163.4</v>
      </c>
      <c r="N330">
        <v>120.3</v>
      </c>
      <c r="O330">
        <v>174.7</v>
      </c>
      <c r="P330">
        <v>157.1</v>
      </c>
      <c r="Q330">
        <v>181.5</v>
      </c>
      <c r="R330">
        <v>171.5</v>
      </c>
      <c r="S330">
        <v>197.5</v>
      </c>
      <c r="T330">
        <v>167.1</v>
      </c>
      <c r="U330">
        <v>152.6</v>
      </c>
      <c r="V330">
        <v>164.9</v>
      </c>
      <c r="W330" s="3">
        <v>165.3</v>
      </c>
      <c r="X330">
        <v>164.5</v>
      </c>
      <c r="Y330">
        <v>158.6</v>
      </c>
      <c r="Z330">
        <v>168.2</v>
      </c>
      <c r="AA330">
        <v>154.19999999999999</v>
      </c>
      <c r="AB330">
        <v>160.80000000000001</v>
      </c>
      <c r="AC330">
        <v>162.69999999999999</v>
      </c>
      <c r="AD330">
        <v>166.8</v>
      </c>
      <c r="AE330">
        <v>160.6</v>
      </c>
      <c r="AF330">
        <v>166.5</v>
      </c>
      <c r="AG33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31" spans="1:33" x14ac:dyDescent="0.3">
      <c r="A331" t="s">
        <v>33</v>
      </c>
      <c r="B331">
        <v>2014</v>
      </c>
      <c r="C331" t="s">
        <v>35</v>
      </c>
      <c r="D331" s="10">
        <f>DATE(All_India_Index_Upto_April23__13[[#This Row],[Year]],All_India_Index_Upto_April23__13[[#This Row],[Month Number]],1)</f>
        <v>41699</v>
      </c>
      <c r="E331" s="2" t="str">
        <f>IF(All_India_Index_Upto_April23__13[[#This Row],[Date]]&lt;DATE(2020, 3, 1),"Pre-COVID","Post-COVID")</f>
        <v>Pre-COVID</v>
      </c>
      <c r="F331">
        <v>120.7</v>
      </c>
      <c r="G331">
        <v>119.3</v>
      </c>
      <c r="H331">
        <v>121</v>
      </c>
      <c r="I331">
        <v>116.1</v>
      </c>
      <c r="J331">
        <v>106.9</v>
      </c>
      <c r="K331">
        <v>118.7</v>
      </c>
      <c r="L331">
        <v>116.3</v>
      </c>
      <c r="M331">
        <v>109.8</v>
      </c>
      <c r="N331">
        <v>99.6</v>
      </c>
      <c r="O331">
        <v>111.8</v>
      </c>
      <c r="P331">
        <v>112.7</v>
      </c>
      <c r="Q331">
        <v>119.3</v>
      </c>
      <c r="R331">
        <v>116.1</v>
      </c>
      <c r="S331">
        <v>115.2</v>
      </c>
      <c r="T331">
        <v>116.8</v>
      </c>
      <c r="U331">
        <v>113.7</v>
      </c>
      <c r="V331">
        <v>116.4</v>
      </c>
      <c r="W331" s="3">
        <v>113.2</v>
      </c>
      <c r="X331">
        <v>112.5</v>
      </c>
      <c r="Y331">
        <v>113.2</v>
      </c>
      <c r="Z331">
        <v>111.2</v>
      </c>
      <c r="AA331">
        <v>111.4</v>
      </c>
      <c r="AB331">
        <v>110.6</v>
      </c>
      <c r="AC331">
        <v>112</v>
      </c>
      <c r="AD331">
        <v>109</v>
      </c>
      <c r="AE331">
        <v>111.3</v>
      </c>
      <c r="AF331">
        <v>114.2</v>
      </c>
      <c r="AG33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32" spans="1:33" hidden="1" x14ac:dyDescent="0.3">
      <c r="A332" t="s">
        <v>30</v>
      </c>
      <c r="B332">
        <v>2022</v>
      </c>
      <c r="C332" t="s">
        <v>36</v>
      </c>
      <c r="D332" s="10">
        <f>DATE(All_India_Index_Upto_April23__13[[#This Row],[Year]],All_India_Index_Upto_April23__13[[#This Row],[Month Number]],1)</f>
        <v>44652</v>
      </c>
      <c r="E332" s="2" t="str">
        <f>IF(All_India_Index_Upto_April23__13[[#This Row],[Date]]&lt;DATE(2020, 3, 1),"Pre-COVID","Post-COVID")</f>
        <v>Post-COVID</v>
      </c>
      <c r="F332">
        <v>151.80000000000001</v>
      </c>
      <c r="G332">
        <v>209.7</v>
      </c>
      <c r="H332">
        <v>164.5</v>
      </c>
      <c r="I332">
        <v>163.80000000000001</v>
      </c>
      <c r="J332">
        <v>207.4</v>
      </c>
      <c r="K332">
        <v>169.7</v>
      </c>
      <c r="L332">
        <v>153.6</v>
      </c>
      <c r="M332">
        <v>165.1</v>
      </c>
      <c r="N332">
        <v>118.2</v>
      </c>
      <c r="O332">
        <v>182.9</v>
      </c>
      <c r="P332">
        <v>172.4</v>
      </c>
      <c r="Q332">
        <v>178.9</v>
      </c>
      <c r="R332">
        <v>168.6</v>
      </c>
      <c r="S332">
        <v>192.8</v>
      </c>
      <c r="T332">
        <v>177.5</v>
      </c>
      <c r="U332">
        <v>175.1</v>
      </c>
      <c r="V332">
        <v>177.1</v>
      </c>
      <c r="W332" s="3">
        <v>141</v>
      </c>
      <c r="X332">
        <v>173.3</v>
      </c>
      <c r="Y332">
        <v>167.7</v>
      </c>
      <c r="Z332">
        <v>177</v>
      </c>
      <c r="AA332">
        <v>166.2</v>
      </c>
      <c r="AB332">
        <v>167.2</v>
      </c>
      <c r="AC332">
        <v>170.9</v>
      </c>
      <c r="AD332">
        <v>169</v>
      </c>
      <c r="AE332">
        <v>170.2</v>
      </c>
      <c r="AF332">
        <v>170.8</v>
      </c>
      <c r="AG33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33" spans="1:33" hidden="1" x14ac:dyDescent="0.3">
      <c r="A333" t="s">
        <v>32</v>
      </c>
      <c r="B333">
        <v>2022</v>
      </c>
      <c r="C333" t="s">
        <v>36</v>
      </c>
      <c r="D333" s="10">
        <f>DATE(All_India_Index_Upto_April23__13[[#This Row],[Year]],All_India_Index_Upto_April23__13[[#This Row],[Month Number]],1)</f>
        <v>44652</v>
      </c>
      <c r="E333" s="2" t="str">
        <f>IF(All_India_Index_Upto_April23__13[[#This Row],[Date]]&lt;DATE(2020, 3, 1),"Pre-COVID","Post-COVID")</f>
        <v>Post-COVID</v>
      </c>
      <c r="F333">
        <v>155.4</v>
      </c>
      <c r="G333">
        <v>215.8</v>
      </c>
      <c r="H333">
        <v>164.6</v>
      </c>
      <c r="I333">
        <v>164.2</v>
      </c>
      <c r="J333">
        <v>186</v>
      </c>
      <c r="K333">
        <v>175.9</v>
      </c>
      <c r="L333">
        <v>190.7</v>
      </c>
      <c r="M333">
        <v>164</v>
      </c>
      <c r="N333">
        <v>120.5</v>
      </c>
      <c r="O333">
        <v>178</v>
      </c>
      <c r="P333">
        <v>157.5</v>
      </c>
      <c r="Q333">
        <v>183.3</v>
      </c>
      <c r="R333">
        <v>174.5</v>
      </c>
      <c r="S333">
        <v>197.1</v>
      </c>
      <c r="T333">
        <v>168.4</v>
      </c>
      <c r="U333">
        <v>154.5</v>
      </c>
      <c r="V333">
        <v>166.3</v>
      </c>
      <c r="W333" s="3">
        <v>167</v>
      </c>
      <c r="X333">
        <v>170.5</v>
      </c>
      <c r="Y333">
        <v>159.80000000000001</v>
      </c>
      <c r="Z333">
        <v>169</v>
      </c>
      <c r="AA333">
        <v>159.30000000000001</v>
      </c>
      <c r="AB333">
        <v>162.19999999999999</v>
      </c>
      <c r="AC333">
        <v>164</v>
      </c>
      <c r="AD333">
        <v>168.4</v>
      </c>
      <c r="AE333">
        <v>163.1</v>
      </c>
      <c r="AF333">
        <v>169.2</v>
      </c>
      <c r="AG33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34" spans="1:33" x14ac:dyDescent="0.3">
      <c r="A334" t="s">
        <v>33</v>
      </c>
      <c r="B334">
        <v>2014</v>
      </c>
      <c r="C334" t="s">
        <v>34</v>
      </c>
      <c r="D334" s="10">
        <f>DATE(All_India_Index_Upto_April23__13[[#This Row],[Year]],All_India_Index_Upto_April23__13[[#This Row],[Month Number]],1)</f>
        <v>41671</v>
      </c>
      <c r="E334" s="2" t="str">
        <f>IF(All_India_Index_Upto_April23__13[[#This Row],[Date]]&lt;DATE(2020, 3, 1),"Pre-COVID","Post-COVID")</f>
        <v>Pre-COVID</v>
      </c>
      <c r="F334">
        <v>120.2</v>
      </c>
      <c r="G334">
        <v>119.2</v>
      </c>
      <c r="H334">
        <v>122.5</v>
      </c>
      <c r="I334">
        <v>115.1</v>
      </c>
      <c r="J334">
        <v>106.6</v>
      </c>
      <c r="K334">
        <v>115.4</v>
      </c>
      <c r="L334">
        <v>114.5</v>
      </c>
      <c r="M334">
        <v>109.3</v>
      </c>
      <c r="N334">
        <v>99.2</v>
      </c>
      <c r="O334">
        <v>111.4</v>
      </c>
      <c r="P334">
        <v>112.6</v>
      </c>
      <c r="Q334">
        <v>118.8</v>
      </c>
      <c r="R334">
        <v>115.3</v>
      </c>
      <c r="S334">
        <v>114.7</v>
      </c>
      <c r="T334">
        <v>116.4</v>
      </c>
      <c r="U334">
        <v>113.3</v>
      </c>
      <c r="V334">
        <v>115.9</v>
      </c>
      <c r="W334" s="3">
        <v>112.5</v>
      </c>
      <c r="X334">
        <v>112.4</v>
      </c>
      <c r="Y334">
        <v>112.8</v>
      </c>
      <c r="Z334">
        <v>110.7</v>
      </c>
      <c r="AA334">
        <v>111.1</v>
      </c>
      <c r="AB334">
        <v>110.1</v>
      </c>
      <c r="AC334">
        <v>111.8</v>
      </c>
      <c r="AD334">
        <v>108.7</v>
      </c>
      <c r="AE334">
        <v>110.9</v>
      </c>
      <c r="AF334">
        <v>113.6</v>
      </c>
      <c r="AG33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35" spans="1:33" hidden="1" x14ac:dyDescent="0.3">
      <c r="A335" t="s">
        <v>30</v>
      </c>
      <c r="B335">
        <v>2022</v>
      </c>
      <c r="C335" t="s">
        <v>37</v>
      </c>
      <c r="D335" s="10">
        <f>DATE(All_India_Index_Upto_April23__13[[#This Row],[Year]],All_India_Index_Upto_April23__13[[#This Row],[Month Number]],1)</f>
        <v>44682</v>
      </c>
      <c r="E335" s="2" t="str">
        <f>IF(All_India_Index_Upto_April23__13[[#This Row],[Date]]&lt;DATE(2020, 3, 1),"Pre-COVID","Post-COVID")</f>
        <v>Post-COVID</v>
      </c>
      <c r="F335">
        <v>152.9</v>
      </c>
      <c r="G335">
        <v>214.7</v>
      </c>
      <c r="H335">
        <v>161.4</v>
      </c>
      <c r="I335">
        <v>164.6</v>
      </c>
      <c r="J335">
        <v>209.9</v>
      </c>
      <c r="K335">
        <v>168</v>
      </c>
      <c r="L335">
        <v>160.4</v>
      </c>
      <c r="M335">
        <v>165</v>
      </c>
      <c r="N335">
        <v>118.9</v>
      </c>
      <c r="O335">
        <v>186.6</v>
      </c>
      <c r="P335">
        <v>173.2</v>
      </c>
      <c r="Q335">
        <v>180.4</v>
      </c>
      <c r="R335">
        <v>170.8</v>
      </c>
      <c r="S335">
        <v>192.9</v>
      </c>
      <c r="T335">
        <v>179.3</v>
      </c>
      <c r="U335">
        <v>177.2</v>
      </c>
      <c r="V335">
        <v>179</v>
      </c>
      <c r="W335" s="3">
        <v>141</v>
      </c>
      <c r="X335">
        <v>175.3</v>
      </c>
      <c r="Y335">
        <v>168.9</v>
      </c>
      <c r="Z335">
        <v>177.7</v>
      </c>
      <c r="AA335">
        <v>167.1</v>
      </c>
      <c r="AB335">
        <v>167.6</v>
      </c>
      <c r="AC335">
        <v>171.8</v>
      </c>
      <c r="AD335">
        <v>168.5</v>
      </c>
      <c r="AE335">
        <v>170.9</v>
      </c>
      <c r="AF335">
        <v>172.5</v>
      </c>
      <c r="AG33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36" spans="1:33" hidden="1" x14ac:dyDescent="0.3">
      <c r="A336" t="s">
        <v>32</v>
      </c>
      <c r="B336">
        <v>2022</v>
      </c>
      <c r="C336" t="s">
        <v>37</v>
      </c>
      <c r="D336" s="10">
        <f>DATE(All_India_Index_Upto_April23__13[[#This Row],[Year]],All_India_Index_Upto_April23__13[[#This Row],[Month Number]],1)</f>
        <v>44682</v>
      </c>
      <c r="E336" s="2" t="str">
        <f>IF(All_India_Index_Upto_April23__13[[#This Row],[Date]]&lt;DATE(2020, 3, 1),"Pre-COVID","Post-COVID")</f>
        <v>Post-COVID</v>
      </c>
      <c r="F336">
        <v>156.69999999999999</v>
      </c>
      <c r="G336">
        <v>221.2</v>
      </c>
      <c r="H336">
        <v>164.1</v>
      </c>
      <c r="I336">
        <v>165.4</v>
      </c>
      <c r="J336">
        <v>189.5</v>
      </c>
      <c r="K336">
        <v>174.5</v>
      </c>
      <c r="L336">
        <v>203.2</v>
      </c>
      <c r="M336">
        <v>164.1</v>
      </c>
      <c r="N336">
        <v>121.2</v>
      </c>
      <c r="O336">
        <v>181.4</v>
      </c>
      <c r="P336">
        <v>158.5</v>
      </c>
      <c r="Q336">
        <v>184.9</v>
      </c>
      <c r="R336">
        <v>177.5</v>
      </c>
      <c r="S336">
        <v>197.5</v>
      </c>
      <c r="T336">
        <v>170</v>
      </c>
      <c r="U336">
        <v>155.9</v>
      </c>
      <c r="V336">
        <v>167.8</v>
      </c>
      <c r="W336" s="3">
        <v>167.5</v>
      </c>
      <c r="X336">
        <v>173.5</v>
      </c>
      <c r="Y336">
        <v>161.1</v>
      </c>
      <c r="Z336">
        <v>170.1</v>
      </c>
      <c r="AA336">
        <v>159.4</v>
      </c>
      <c r="AB336">
        <v>163.19999999999999</v>
      </c>
      <c r="AC336">
        <v>165.2</v>
      </c>
      <c r="AD336">
        <v>168.2</v>
      </c>
      <c r="AE336">
        <v>163.80000000000001</v>
      </c>
      <c r="AF336">
        <v>170.8</v>
      </c>
      <c r="AG33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37" spans="1:33" x14ac:dyDescent="0.3">
      <c r="A337" t="s">
        <v>33</v>
      </c>
      <c r="B337">
        <v>2014</v>
      </c>
      <c r="C337" t="s">
        <v>31</v>
      </c>
      <c r="D337" s="10">
        <f>DATE(All_India_Index_Upto_April23__13[[#This Row],[Year]],All_India_Index_Upto_April23__13[[#This Row],[Month Number]],1)</f>
        <v>41640</v>
      </c>
      <c r="E337" s="2" t="str">
        <f>IF(All_India_Index_Upto_April23__13[[#This Row],[Date]]&lt;DATE(2020, 3, 1),"Pre-COVID","Post-COVID")</f>
        <v>Pre-COVID</v>
      </c>
      <c r="F337">
        <v>119.6</v>
      </c>
      <c r="G337">
        <v>118.8</v>
      </c>
      <c r="H337">
        <v>124.1</v>
      </c>
      <c r="I337">
        <v>114.1</v>
      </c>
      <c r="J337">
        <v>106.8</v>
      </c>
      <c r="K337">
        <v>113.9</v>
      </c>
      <c r="L337">
        <v>122.2</v>
      </c>
      <c r="M337">
        <v>108.9</v>
      </c>
      <c r="N337">
        <v>100.2</v>
      </c>
      <c r="O337">
        <v>111</v>
      </c>
      <c r="P337">
        <v>112.3</v>
      </c>
      <c r="Q337">
        <v>118.1</v>
      </c>
      <c r="R337">
        <v>115.8</v>
      </c>
      <c r="S337">
        <v>114.5</v>
      </c>
      <c r="T337">
        <v>115.8</v>
      </c>
      <c r="U337">
        <v>113.2</v>
      </c>
      <c r="V337">
        <v>115.4</v>
      </c>
      <c r="W337" s="3">
        <v>111.6</v>
      </c>
      <c r="X337">
        <v>112.2</v>
      </c>
      <c r="Y337">
        <v>112.3</v>
      </c>
      <c r="Z337">
        <v>110.3</v>
      </c>
      <c r="AA337">
        <v>110.7</v>
      </c>
      <c r="AB337">
        <v>109.7</v>
      </c>
      <c r="AC337">
        <v>111.6</v>
      </c>
      <c r="AD337">
        <v>108.2</v>
      </c>
      <c r="AE337">
        <v>110.6</v>
      </c>
      <c r="AF337">
        <v>113.6</v>
      </c>
      <c r="AG33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38" spans="1:33" hidden="1" x14ac:dyDescent="0.3">
      <c r="A338" t="s">
        <v>30</v>
      </c>
      <c r="B338">
        <v>2022</v>
      </c>
      <c r="C338" t="s">
        <v>38</v>
      </c>
      <c r="D338" s="10">
        <f>DATE(All_India_Index_Upto_April23__13[[#This Row],[Year]],All_India_Index_Upto_April23__13[[#This Row],[Month Number]],1)</f>
        <v>44713</v>
      </c>
      <c r="E338" s="2" t="str">
        <f>IF(All_India_Index_Upto_April23__13[[#This Row],[Date]]&lt;DATE(2020, 3, 1),"Pre-COVID","Post-COVID")</f>
        <v>Post-COVID</v>
      </c>
      <c r="F338">
        <v>153.80000000000001</v>
      </c>
      <c r="G338">
        <v>217.2</v>
      </c>
      <c r="H338">
        <v>169.6</v>
      </c>
      <c r="I338">
        <v>165.4</v>
      </c>
      <c r="J338">
        <v>208.1</v>
      </c>
      <c r="K338">
        <v>165.8</v>
      </c>
      <c r="L338">
        <v>167.3</v>
      </c>
      <c r="M338">
        <v>164.6</v>
      </c>
      <c r="N338">
        <v>119.1</v>
      </c>
      <c r="O338">
        <v>188.9</v>
      </c>
      <c r="P338">
        <v>174.2</v>
      </c>
      <c r="Q338">
        <v>181.9</v>
      </c>
      <c r="R338">
        <v>172.4</v>
      </c>
      <c r="S338">
        <v>192.9</v>
      </c>
      <c r="T338">
        <v>180.7</v>
      </c>
      <c r="U338">
        <v>178.7</v>
      </c>
      <c r="V338">
        <v>180.4</v>
      </c>
      <c r="W338" s="3">
        <v>141</v>
      </c>
      <c r="X338">
        <v>176.7</v>
      </c>
      <c r="Y338">
        <v>170.3</v>
      </c>
      <c r="Z338">
        <v>178.2</v>
      </c>
      <c r="AA338">
        <v>165.5</v>
      </c>
      <c r="AB338">
        <v>168</v>
      </c>
      <c r="AC338">
        <v>172.6</v>
      </c>
      <c r="AD338">
        <v>169.5</v>
      </c>
      <c r="AE338">
        <v>171</v>
      </c>
      <c r="AF338">
        <v>173.6</v>
      </c>
      <c r="AG33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39" spans="1:33" hidden="1" x14ac:dyDescent="0.3">
      <c r="A339" t="s">
        <v>32</v>
      </c>
      <c r="B339">
        <v>2022</v>
      </c>
      <c r="C339" t="s">
        <v>38</v>
      </c>
      <c r="D339" s="10">
        <f>DATE(All_India_Index_Upto_April23__13[[#This Row],[Year]],All_India_Index_Upto_April23__13[[#This Row],[Month Number]],1)</f>
        <v>44713</v>
      </c>
      <c r="E339" s="2" t="str">
        <f>IF(All_India_Index_Upto_April23__13[[#This Row],[Date]]&lt;DATE(2020, 3, 1),"Pre-COVID","Post-COVID")</f>
        <v>Post-COVID</v>
      </c>
      <c r="F339">
        <v>157.5</v>
      </c>
      <c r="G339">
        <v>223.4</v>
      </c>
      <c r="H339">
        <v>172.8</v>
      </c>
      <c r="I339">
        <v>166.4</v>
      </c>
      <c r="J339">
        <v>188.6</v>
      </c>
      <c r="K339">
        <v>174.1</v>
      </c>
      <c r="L339">
        <v>211.5</v>
      </c>
      <c r="M339">
        <v>163.6</v>
      </c>
      <c r="N339">
        <v>121.4</v>
      </c>
      <c r="O339">
        <v>183.5</v>
      </c>
      <c r="P339">
        <v>159.1</v>
      </c>
      <c r="Q339">
        <v>186.3</v>
      </c>
      <c r="R339">
        <v>179.3</v>
      </c>
      <c r="S339">
        <v>198.3</v>
      </c>
      <c r="T339">
        <v>171.6</v>
      </c>
      <c r="U339">
        <v>157.4</v>
      </c>
      <c r="V339">
        <v>169.4</v>
      </c>
      <c r="W339" s="3">
        <v>166.8</v>
      </c>
      <c r="X339">
        <v>174.9</v>
      </c>
      <c r="Y339">
        <v>162.1</v>
      </c>
      <c r="Z339">
        <v>170.9</v>
      </c>
      <c r="AA339">
        <v>157.19999999999999</v>
      </c>
      <c r="AB339">
        <v>164.1</v>
      </c>
      <c r="AC339">
        <v>166.5</v>
      </c>
      <c r="AD339">
        <v>169.2</v>
      </c>
      <c r="AE339">
        <v>163.80000000000001</v>
      </c>
      <c r="AF339">
        <v>171.4</v>
      </c>
      <c r="AG33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40" spans="1:33" x14ac:dyDescent="0.3">
      <c r="A340" t="s">
        <v>33</v>
      </c>
      <c r="B340">
        <v>2013</v>
      </c>
      <c r="C340" t="s">
        <v>44</v>
      </c>
      <c r="D340" s="10">
        <f>DATE(All_India_Index_Upto_April23__13[[#This Row],[Year]],All_India_Index_Upto_April23__13[[#This Row],[Month Number]],1)</f>
        <v>41609</v>
      </c>
      <c r="E340" s="2" t="str">
        <f>IF(All_India_Index_Upto_April23__13[[#This Row],[Date]]&lt;DATE(2020, 3, 1),"Pre-COVID","Post-COVID")</f>
        <v>Pre-COVID</v>
      </c>
      <c r="F340">
        <v>119.1</v>
      </c>
      <c r="G340">
        <v>116.7</v>
      </c>
      <c r="H340">
        <v>123.5</v>
      </c>
      <c r="I340">
        <v>113.4</v>
      </c>
      <c r="J340">
        <v>107.3</v>
      </c>
      <c r="K340">
        <v>113.3</v>
      </c>
      <c r="L340">
        <v>145.4</v>
      </c>
      <c r="M340">
        <v>108.7</v>
      </c>
      <c r="N340">
        <v>101.5</v>
      </c>
      <c r="O340">
        <v>110.5</v>
      </c>
      <c r="P340">
        <v>112.1</v>
      </c>
      <c r="Q340">
        <v>117.4</v>
      </c>
      <c r="R340">
        <v>118.4</v>
      </c>
      <c r="S340">
        <v>114</v>
      </c>
      <c r="T340">
        <v>115.2</v>
      </c>
      <c r="U340">
        <v>112.7</v>
      </c>
      <c r="V340">
        <v>114.8</v>
      </c>
      <c r="W340" s="3">
        <v>110.7</v>
      </c>
      <c r="X340">
        <v>111.9</v>
      </c>
      <c r="Y340">
        <v>111.7</v>
      </c>
      <c r="Z340">
        <v>109.7</v>
      </c>
      <c r="AA340">
        <v>109.8</v>
      </c>
      <c r="AB340">
        <v>109</v>
      </c>
      <c r="AC340">
        <v>111.5</v>
      </c>
      <c r="AD340">
        <v>107.9</v>
      </c>
      <c r="AE340">
        <v>110</v>
      </c>
      <c r="AF340">
        <v>114.5</v>
      </c>
      <c r="AG34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41" spans="1:33" hidden="1" x14ac:dyDescent="0.3">
      <c r="A341" t="s">
        <v>30</v>
      </c>
      <c r="B341">
        <v>2022</v>
      </c>
      <c r="C341" t="s">
        <v>39</v>
      </c>
      <c r="D341" s="10">
        <f>DATE(All_India_Index_Upto_April23__13[[#This Row],[Year]],All_India_Index_Upto_April23__13[[#This Row],[Month Number]],1)</f>
        <v>44743</v>
      </c>
      <c r="E341" s="2" t="str">
        <f>IF(All_India_Index_Upto_April23__13[[#This Row],[Date]]&lt;DATE(2020, 3, 1),"Pre-COVID","Post-COVID")</f>
        <v>Post-COVID</v>
      </c>
      <c r="F341">
        <v>155.19999999999999</v>
      </c>
      <c r="G341">
        <v>210.8</v>
      </c>
      <c r="H341">
        <v>174.3</v>
      </c>
      <c r="I341">
        <v>166.3</v>
      </c>
      <c r="J341">
        <v>202.2</v>
      </c>
      <c r="K341">
        <v>169.6</v>
      </c>
      <c r="L341">
        <v>168.6</v>
      </c>
      <c r="M341">
        <v>164.4</v>
      </c>
      <c r="N341">
        <v>119.2</v>
      </c>
      <c r="O341">
        <v>191.8</v>
      </c>
      <c r="P341">
        <v>174.5</v>
      </c>
      <c r="Q341">
        <v>183.1</v>
      </c>
      <c r="R341">
        <v>172.5</v>
      </c>
      <c r="S341">
        <v>193.2</v>
      </c>
      <c r="T341">
        <v>182</v>
      </c>
      <c r="U341">
        <v>180.3</v>
      </c>
      <c r="V341">
        <v>181.7</v>
      </c>
      <c r="W341" s="3">
        <v>141</v>
      </c>
      <c r="X341">
        <v>179.6</v>
      </c>
      <c r="Y341">
        <v>171.3</v>
      </c>
      <c r="Z341">
        <v>178.8</v>
      </c>
      <c r="AA341">
        <v>166.3</v>
      </c>
      <c r="AB341">
        <v>168.6</v>
      </c>
      <c r="AC341">
        <v>174.7</v>
      </c>
      <c r="AD341">
        <v>169.7</v>
      </c>
      <c r="AE341">
        <v>171.8</v>
      </c>
      <c r="AF341">
        <v>174.3</v>
      </c>
      <c r="AG34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42" spans="1:33" hidden="1" x14ac:dyDescent="0.3">
      <c r="A342" t="s">
        <v>32</v>
      </c>
      <c r="B342">
        <v>2022</v>
      </c>
      <c r="C342" t="s">
        <v>39</v>
      </c>
      <c r="D342" s="10">
        <f>DATE(All_India_Index_Upto_April23__13[[#This Row],[Year]],All_India_Index_Upto_April23__13[[#This Row],[Month Number]],1)</f>
        <v>44743</v>
      </c>
      <c r="E342" s="2" t="str">
        <f>IF(All_India_Index_Upto_April23__13[[#This Row],[Date]]&lt;DATE(2020, 3, 1),"Pre-COVID","Post-COVID")</f>
        <v>Post-COVID</v>
      </c>
      <c r="F342">
        <v>159.30000000000001</v>
      </c>
      <c r="G342">
        <v>217.1</v>
      </c>
      <c r="H342">
        <v>176.6</v>
      </c>
      <c r="I342">
        <v>167.1</v>
      </c>
      <c r="J342">
        <v>184.8</v>
      </c>
      <c r="K342">
        <v>179.5</v>
      </c>
      <c r="L342">
        <v>208.5</v>
      </c>
      <c r="M342">
        <v>164</v>
      </c>
      <c r="N342">
        <v>121.5</v>
      </c>
      <c r="O342">
        <v>186.3</v>
      </c>
      <c r="P342">
        <v>159.80000000000001</v>
      </c>
      <c r="Q342">
        <v>187.7</v>
      </c>
      <c r="R342">
        <v>179.4</v>
      </c>
      <c r="S342">
        <v>198.6</v>
      </c>
      <c r="T342">
        <v>172.7</v>
      </c>
      <c r="U342">
        <v>158.69999999999999</v>
      </c>
      <c r="V342">
        <v>170.6</v>
      </c>
      <c r="W342" s="3">
        <v>167.8</v>
      </c>
      <c r="X342">
        <v>179.5</v>
      </c>
      <c r="Y342">
        <v>163.1</v>
      </c>
      <c r="Z342">
        <v>171.7</v>
      </c>
      <c r="AA342">
        <v>157.4</v>
      </c>
      <c r="AB342">
        <v>164.6</v>
      </c>
      <c r="AC342">
        <v>169.1</v>
      </c>
      <c r="AD342">
        <v>169.8</v>
      </c>
      <c r="AE342">
        <v>164.7</v>
      </c>
      <c r="AF342">
        <v>172.3</v>
      </c>
      <c r="AG34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43" spans="1:33" x14ac:dyDescent="0.3">
      <c r="A343" t="s">
        <v>33</v>
      </c>
      <c r="B343">
        <v>2013</v>
      </c>
      <c r="C343" t="s">
        <v>43</v>
      </c>
      <c r="D343" s="10">
        <f>DATE(All_India_Index_Upto_April23__13[[#This Row],[Year]],All_India_Index_Upto_April23__13[[#This Row],[Month Number]],1)</f>
        <v>41579</v>
      </c>
      <c r="E343" s="2" t="str">
        <f>IF(All_India_Index_Upto_April23__13[[#This Row],[Date]]&lt;DATE(2020, 3, 1),"Pre-COVID","Post-COVID")</f>
        <v>Pre-COVID</v>
      </c>
      <c r="F343">
        <v>118.1</v>
      </c>
      <c r="G343">
        <v>115.4</v>
      </c>
      <c r="H343">
        <v>118.7</v>
      </c>
      <c r="I343">
        <v>112.5</v>
      </c>
      <c r="J343">
        <v>106.8</v>
      </c>
      <c r="K343">
        <v>113.5</v>
      </c>
      <c r="L343">
        <v>183.1</v>
      </c>
      <c r="M343">
        <v>108.2</v>
      </c>
      <c r="N343">
        <v>102.2</v>
      </c>
      <c r="O343">
        <v>109.4</v>
      </c>
      <c r="P343">
        <v>111.8</v>
      </c>
      <c r="Q343">
        <v>116.5</v>
      </c>
      <c r="R343">
        <v>122.6</v>
      </c>
      <c r="S343">
        <v>113.1</v>
      </c>
      <c r="T343">
        <v>114.2</v>
      </c>
      <c r="U343">
        <v>111.9</v>
      </c>
      <c r="V343">
        <v>113.8</v>
      </c>
      <c r="W343" s="3">
        <v>111.1</v>
      </c>
      <c r="X343">
        <v>111.6</v>
      </c>
      <c r="Y343">
        <v>111.1</v>
      </c>
      <c r="Z343">
        <v>109.3</v>
      </c>
      <c r="AA343">
        <v>109.5</v>
      </c>
      <c r="AB343">
        <v>108.6</v>
      </c>
      <c r="AC343">
        <v>111.2</v>
      </c>
      <c r="AD343">
        <v>108.1</v>
      </c>
      <c r="AE343">
        <v>109.7</v>
      </c>
      <c r="AF343">
        <v>116.3</v>
      </c>
      <c r="AG34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44" spans="1:33" hidden="1" x14ac:dyDescent="0.3">
      <c r="A344" t="s">
        <v>30</v>
      </c>
      <c r="B344">
        <v>2022</v>
      </c>
      <c r="C344" t="s">
        <v>40</v>
      </c>
      <c r="D344" s="10">
        <f>DATE(All_India_Index_Upto_April23__13[[#This Row],[Year]],All_India_Index_Upto_April23__13[[#This Row],[Month Number]],1)</f>
        <v>44774</v>
      </c>
      <c r="E344" s="2" t="str">
        <f>IF(All_India_Index_Upto_April23__13[[#This Row],[Date]]&lt;DATE(2020, 3, 1),"Pre-COVID","Post-COVID")</f>
        <v>Post-COVID</v>
      </c>
      <c r="F344">
        <v>159.5</v>
      </c>
      <c r="G344">
        <v>204.1</v>
      </c>
      <c r="H344">
        <v>168.3</v>
      </c>
      <c r="I344">
        <v>167.9</v>
      </c>
      <c r="J344">
        <v>198.1</v>
      </c>
      <c r="K344">
        <v>169.2</v>
      </c>
      <c r="L344">
        <v>173.1</v>
      </c>
      <c r="M344">
        <v>167.1</v>
      </c>
      <c r="N344">
        <v>120.2</v>
      </c>
      <c r="O344">
        <v>195.6</v>
      </c>
      <c r="P344">
        <v>174.8</v>
      </c>
      <c r="Q344">
        <v>184</v>
      </c>
      <c r="R344">
        <v>173.9</v>
      </c>
      <c r="S344">
        <v>193.7</v>
      </c>
      <c r="T344">
        <v>183.2</v>
      </c>
      <c r="U344">
        <v>181.7</v>
      </c>
      <c r="V344">
        <v>183</v>
      </c>
      <c r="W344" s="3">
        <v>141</v>
      </c>
      <c r="X344">
        <v>179.1</v>
      </c>
      <c r="Y344">
        <v>172.3</v>
      </c>
      <c r="Z344">
        <v>179.4</v>
      </c>
      <c r="AA344">
        <v>166.6</v>
      </c>
      <c r="AB344">
        <v>169.3</v>
      </c>
      <c r="AC344">
        <v>175.7</v>
      </c>
      <c r="AD344">
        <v>171.1</v>
      </c>
      <c r="AE344">
        <v>172.6</v>
      </c>
      <c r="AF344">
        <v>175.3</v>
      </c>
      <c r="AG34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45" spans="1:33" hidden="1" x14ac:dyDescent="0.3">
      <c r="A345" t="s">
        <v>32</v>
      </c>
      <c r="B345">
        <v>2022</v>
      </c>
      <c r="C345" t="s">
        <v>40</v>
      </c>
      <c r="D345" s="10">
        <f>DATE(All_India_Index_Upto_April23__13[[#This Row],[Year]],All_India_Index_Upto_April23__13[[#This Row],[Month Number]],1)</f>
        <v>44774</v>
      </c>
      <c r="E345" s="2" t="str">
        <f>IF(All_India_Index_Upto_April23__13[[#This Row],[Date]]&lt;DATE(2020, 3, 1),"Pre-COVID","Post-COVID")</f>
        <v>Post-COVID</v>
      </c>
      <c r="F345">
        <v>162.1</v>
      </c>
      <c r="G345">
        <v>210.9</v>
      </c>
      <c r="H345">
        <v>170.6</v>
      </c>
      <c r="I345">
        <v>168.4</v>
      </c>
      <c r="J345">
        <v>182.5</v>
      </c>
      <c r="K345">
        <v>177.1</v>
      </c>
      <c r="L345">
        <v>213.1</v>
      </c>
      <c r="M345">
        <v>167.3</v>
      </c>
      <c r="N345">
        <v>122.2</v>
      </c>
      <c r="O345">
        <v>189.7</v>
      </c>
      <c r="P345">
        <v>160.5</v>
      </c>
      <c r="Q345">
        <v>188.9</v>
      </c>
      <c r="R345">
        <v>180.4</v>
      </c>
      <c r="S345">
        <v>198.7</v>
      </c>
      <c r="T345">
        <v>173.7</v>
      </c>
      <c r="U345">
        <v>160</v>
      </c>
      <c r="V345">
        <v>171.6</v>
      </c>
      <c r="W345" s="3">
        <v>169</v>
      </c>
      <c r="X345">
        <v>178.4</v>
      </c>
      <c r="Y345">
        <v>164.2</v>
      </c>
      <c r="Z345">
        <v>172.6</v>
      </c>
      <c r="AA345">
        <v>157.69999999999999</v>
      </c>
      <c r="AB345">
        <v>165.1</v>
      </c>
      <c r="AC345">
        <v>169.9</v>
      </c>
      <c r="AD345">
        <v>171.4</v>
      </c>
      <c r="AE345">
        <v>165.4</v>
      </c>
      <c r="AF345">
        <v>173.1</v>
      </c>
      <c r="AG34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46" spans="1:33" x14ac:dyDescent="0.3">
      <c r="A346" t="s">
        <v>33</v>
      </c>
      <c r="B346">
        <v>2013</v>
      </c>
      <c r="C346" t="s">
        <v>42</v>
      </c>
      <c r="D346" s="10">
        <f>DATE(All_India_Index_Upto_April23__13[[#This Row],[Year]],All_India_Index_Upto_April23__13[[#This Row],[Month Number]],1)</f>
        <v>41548</v>
      </c>
      <c r="E346" s="2" t="str">
        <f>IF(All_India_Index_Upto_April23__13[[#This Row],[Date]]&lt;DATE(2020, 3, 1),"Pre-COVID","Post-COVID")</f>
        <v>Pre-COVID</v>
      </c>
      <c r="F346">
        <v>117.1</v>
      </c>
      <c r="G346">
        <v>116.3</v>
      </c>
      <c r="H346">
        <v>113.3</v>
      </c>
      <c r="I346">
        <v>111.2</v>
      </c>
      <c r="J346">
        <v>105.7</v>
      </c>
      <c r="K346">
        <v>109.9</v>
      </c>
      <c r="L346">
        <v>171.2</v>
      </c>
      <c r="M346">
        <v>107.3</v>
      </c>
      <c r="N346">
        <v>102.7</v>
      </c>
      <c r="O346">
        <v>108.7</v>
      </c>
      <c r="P346">
        <v>111.2</v>
      </c>
      <c r="Q346">
        <v>115.4</v>
      </c>
      <c r="R346">
        <v>120.2</v>
      </c>
      <c r="S346">
        <v>112.5</v>
      </c>
      <c r="T346">
        <v>113.2</v>
      </c>
      <c r="U346">
        <v>111.2</v>
      </c>
      <c r="V346">
        <v>112.8</v>
      </c>
      <c r="W346" s="3">
        <v>110.5</v>
      </c>
      <c r="X346">
        <v>110.9</v>
      </c>
      <c r="Y346">
        <v>110.3</v>
      </c>
      <c r="Z346">
        <v>108.6</v>
      </c>
      <c r="AA346">
        <v>109.5</v>
      </c>
      <c r="AB346">
        <v>108.1</v>
      </c>
      <c r="AC346">
        <v>110.8</v>
      </c>
      <c r="AD346">
        <v>107.4</v>
      </c>
      <c r="AE346">
        <v>109.2</v>
      </c>
      <c r="AF346">
        <v>114.8</v>
      </c>
      <c r="AG34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47" spans="1:33" hidden="1" x14ac:dyDescent="0.3">
      <c r="A347" t="s">
        <v>30</v>
      </c>
      <c r="B347">
        <v>2022</v>
      </c>
      <c r="C347" t="s">
        <v>41</v>
      </c>
      <c r="D347" s="10">
        <f>DATE(All_India_Index_Upto_April23__13[[#This Row],[Year]],All_India_Index_Upto_April23__13[[#This Row],[Month Number]],1)</f>
        <v>44805</v>
      </c>
      <c r="E347" s="2" t="str">
        <f>IF(All_India_Index_Upto_April23__13[[#This Row],[Date]]&lt;DATE(2020, 3, 1),"Pre-COVID","Post-COVID")</f>
        <v>Post-COVID</v>
      </c>
      <c r="F347">
        <v>162.9</v>
      </c>
      <c r="G347">
        <v>206.7</v>
      </c>
      <c r="H347">
        <v>169</v>
      </c>
      <c r="I347">
        <v>169.5</v>
      </c>
      <c r="J347">
        <v>194.1</v>
      </c>
      <c r="K347">
        <v>164.1</v>
      </c>
      <c r="L347">
        <v>176.9</v>
      </c>
      <c r="M347">
        <v>169</v>
      </c>
      <c r="N347">
        <v>120.8</v>
      </c>
      <c r="O347">
        <v>199.1</v>
      </c>
      <c r="P347">
        <v>175.4</v>
      </c>
      <c r="Q347">
        <v>184.8</v>
      </c>
      <c r="R347">
        <v>175.5</v>
      </c>
      <c r="S347">
        <v>194.5</v>
      </c>
      <c r="T347">
        <v>184.7</v>
      </c>
      <c r="U347">
        <v>183.3</v>
      </c>
      <c r="V347">
        <v>184.5</v>
      </c>
      <c r="W347" s="3">
        <v>141</v>
      </c>
      <c r="X347">
        <v>179.7</v>
      </c>
      <c r="Y347">
        <v>173.6</v>
      </c>
      <c r="Z347">
        <v>180.2</v>
      </c>
      <c r="AA347">
        <v>166.9</v>
      </c>
      <c r="AB347">
        <v>170</v>
      </c>
      <c r="AC347">
        <v>176.2</v>
      </c>
      <c r="AD347">
        <v>170.8</v>
      </c>
      <c r="AE347">
        <v>173.1</v>
      </c>
      <c r="AF347">
        <v>176.4</v>
      </c>
      <c r="AG34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48" spans="1:33" hidden="1" x14ac:dyDescent="0.3">
      <c r="A348" t="s">
        <v>32</v>
      </c>
      <c r="B348">
        <v>2022</v>
      </c>
      <c r="C348" t="s">
        <v>41</v>
      </c>
      <c r="D348" s="10">
        <f>DATE(All_India_Index_Upto_April23__13[[#This Row],[Year]],All_India_Index_Upto_April23__13[[#This Row],[Month Number]],1)</f>
        <v>44805</v>
      </c>
      <c r="E348" s="2" t="str">
        <f>IF(All_India_Index_Upto_April23__13[[#This Row],[Date]]&lt;DATE(2020, 3, 1),"Pre-COVID","Post-COVID")</f>
        <v>Post-COVID</v>
      </c>
      <c r="F348">
        <v>164.9</v>
      </c>
      <c r="G348">
        <v>213.7</v>
      </c>
      <c r="H348">
        <v>170.9</v>
      </c>
      <c r="I348">
        <v>170.1</v>
      </c>
      <c r="J348">
        <v>179.3</v>
      </c>
      <c r="K348">
        <v>167.5</v>
      </c>
      <c r="L348">
        <v>220.8</v>
      </c>
      <c r="M348">
        <v>169.2</v>
      </c>
      <c r="N348">
        <v>123.1</v>
      </c>
      <c r="O348">
        <v>193.6</v>
      </c>
      <c r="P348">
        <v>161.1</v>
      </c>
      <c r="Q348">
        <v>190.4</v>
      </c>
      <c r="R348">
        <v>181.8</v>
      </c>
      <c r="S348">
        <v>199.7</v>
      </c>
      <c r="T348">
        <v>175</v>
      </c>
      <c r="U348">
        <v>161.69999999999999</v>
      </c>
      <c r="V348">
        <v>173</v>
      </c>
      <c r="W348" s="3">
        <v>169.5</v>
      </c>
      <c r="X348">
        <v>179.2</v>
      </c>
      <c r="Y348">
        <v>165</v>
      </c>
      <c r="Z348">
        <v>173.8</v>
      </c>
      <c r="AA348">
        <v>158.19999999999999</v>
      </c>
      <c r="AB348">
        <v>165.8</v>
      </c>
      <c r="AC348">
        <v>170.9</v>
      </c>
      <c r="AD348">
        <v>171.1</v>
      </c>
      <c r="AE348">
        <v>166.1</v>
      </c>
      <c r="AF348">
        <v>174.1</v>
      </c>
      <c r="AG34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49" spans="1:33" x14ac:dyDescent="0.3">
      <c r="A349" t="s">
        <v>33</v>
      </c>
      <c r="B349">
        <v>2013</v>
      </c>
      <c r="C349" t="s">
        <v>41</v>
      </c>
      <c r="D349" s="10">
        <f>DATE(All_India_Index_Upto_April23__13[[#This Row],[Year]],All_India_Index_Upto_April23__13[[#This Row],[Month Number]],1)</f>
        <v>41518</v>
      </c>
      <c r="E349" s="2" t="str">
        <f>IF(All_India_Index_Upto_April23__13[[#This Row],[Date]]&lt;DATE(2020, 3, 1),"Pre-COVID","Post-COVID")</f>
        <v>Pre-COVID</v>
      </c>
      <c r="F349">
        <v>116.4</v>
      </c>
      <c r="G349">
        <v>116.9</v>
      </c>
      <c r="H349">
        <v>112.3</v>
      </c>
      <c r="I349">
        <v>110.5</v>
      </c>
      <c r="J349">
        <v>105.3</v>
      </c>
      <c r="K349">
        <v>107.3</v>
      </c>
      <c r="L349">
        <v>160.9</v>
      </c>
      <c r="M349">
        <v>107.1</v>
      </c>
      <c r="N349">
        <v>103.1</v>
      </c>
      <c r="O349">
        <v>108.3</v>
      </c>
      <c r="P349">
        <v>110.7</v>
      </c>
      <c r="Q349">
        <v>114.6</v>
      </c>
      <c r="R349">
        <v>118.3</v>
      </c>
      <c r="S349">
        <v>112</v>
      </c>
      <c r="T349">
        <v>112.2</v>
      </c>
      <c r="U349">
        <v>110.4</v>
      </c>
      <c r="V349">
        <v>111.9</v>
      </c>
      <c r="W349" s="3">
        <v>109.7</v>
      </c>
      <c r="X349">
        <v>110.5</v>
      </c>
      <c r="Y349">
        <v>109.6</v>
      </c>
      <c r="Z349">
        <v>108.1</v>
      </c>
      <c r="AA349">
        <v>109.9</v>
      </c>
      <c r="AB349">
        <v>107.5</v>
      </c>
      <c r="AC349">
        <v>110.6</v>
      </c>
      <c r="AD349">
        <v>106.8</v>
      </c>
      <c r="AE349">
        <v>109</v>
      </c>
      <c r="AF349">
        <v>113.7</v>
      </c>
      <c r="AG34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9</v>
      </c>
    </row>
    <row r="350" spans="1:33" hidden="1" x14ac:dyDescent="0.3">
      <c r="A350" t="s">
        <v>30</v>
      </c>
      <c r="B350">
        <v>2022</v>
      </c>
      <c r="C350" t="s">
        <v>42</v>
      </c>
      <c r="D350" s="10">
        <f>DATE(All_India_Index_Upto_April23__13[[#This Row],[Year]],All_India_Index_Upto_April23__13[[#This Row],[Month Number]],1)</f>
        <v>44835</v>
      </c>
      <c r="E350" s="2" t="str">
        <f>IF(All_India_Index_Upto_April23__13[[#This Row],[Date]]&lt;DATE(2020, 3, 1),"Pre-COVID","Post-COVID")</f>
        <v>Post-COVID</v>
      </c>
      <c r="F350">
        <v>164.7</v>
      </c>
      <c r="G350">
        <v>208.8</v>
      </c>
      <c r="H350">
        <v>170.3</v>
      </c>
      <c r="I350">
        <v>170.9</v>
      </c>
      <c r="J350">
        <v>191.6</v>
      </c>
      <c r="K350">
        <v>162.19999999999999</v>
      </c>
      <c r="L350">
        <v>184.8</v>
      </c>
      <c r="M350">
        <v>169.7</v>
      </c>
      <c r="N350">
        <v>121.1</v>
      </c>
      <c r="O350">
        <v>201.6</v>
      </c>
      <c r="P350">
        <v>175.8</v>
      </c>
      <c r="Q350">
        <v>185.6</v>
      </c>
      <c r="R350">
        <v>177.4</v>
      </c>
      <c r="S350">
        <v>194.9</v>
      </c>
      <c r="T350">
        <v>186.1</v>
      </c>
      <c r="U350">
        <v>184.4</v>
      </c>
      <c r="V350">
        <v>185.9</v>
      </c>
      <c r="W350" s="3">
        <v>141</v>
      </c>
      <c r="X350">
        <v>180.8</v>
      </c>
      <c r="Y350">
        <v>174.4</v>
      </c>
      <c r="Z350">
        <v>181.2</v>
      </c>
      <c r="AA350">
        <v>167.4</v>
      </c>
      <c r="AB350">
        <v>170.6</v>
      </c>
      <c r="AC350">
        <v>176.5</v>
      </c>
      <c r="AD350">
        <v>172</v>
      </c>
      <c r="AE350">
        <v>173.9</v>
      </c>
      <c r="AF350">
        <v>177.9</v>
      </c>
      <c r="AG35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51" spans="1:33" hidden="1" x14ac:dyDescent="0.3">
      <c r="A351" t="s">
        <v>32</v>
      </c>
      <c r="B351">
        <v>2022</v>
      </c>
      <c r="C351" t="s">
        <v>42</v>
      </c>
      <c r="D351" s="10">
        <f>DATE(All_India_Index_Upto_April23__13[[#This Row],[Year]],All_India_Index_Upto_April23__13[[#This Row],[Month Number]],1)</f>
        <v>44835</v>
      </c>
      <c r="E351" s="2" t="str">
        <f>IF(All_India_Index_Upto_April23__13[[#This Row],[Date]]&lt;DATE(2020, 3, 1),"Pre-COVID","Post-COVID")</f>
        <v>Post-COVID</v>
      </c>
      <c r="F351">
        <v>166.4</v>
      </c>
      <c r="G351">
        <v>214.9</v>
      </c>
      <c r="H351">
        <v>171.9</v>
      </c>
      <c r="I351">
        <v>171</v>
      </c>
      <c r="J351">
        <v>177.7</v>
      </c>
      <c r="K351">
        <v>165.7</v>
      </c>
      <c r="L351">
        <v>228.6</v>
      </c>
      <c r="M351">
        <v>169.9</v>
      </c>
      <c r="N351">
        <v>123.4</v>
      </c>
      <c r="O351">
        <v>196.4</v>
      </c>
      <c r="P351">
        <v>161.6</v>
      </c>
      <c r="Q351">
        <v>191.5</v>
      </c>
      <c r="R351">
        <v>183.3</v>
      </c>
      <c r="S351">
        <v>200.1</v>
      </c>
      <c r="T351">
        <v>175.5</v>
      </c>
      <c r="U351">
        <v>162.6</v>
      </c>
      <c r="V351">
        <v>173.6</v>
      </c>
      <c r="W351" s="3">
        <v>171.2</v>
      </c>
      <c r="X351">
        <v>180</v>
      </c>
      <c r="Y351">
        <v>166</v>
      </c>
      <c r="Z351">
        <v>174.7</v>
      </c>
      <c r="AA351">
        <v>158.80000000000001</v>
      </c>
      <c r="AB351">
        <v>166.3</v>
      </c>
      <c r="AC351">
        <v>171.2</v>
      </c>
      <c r="AD351">
        <v>172.3</v>
      </c>
      <c r="AE351">
        <v>166.8</v>
      </c>
      <c r="AF351">
        <v>175.3</v>
      </c>
      <c r="AG35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10</v>
      </c>
    </row>
    <row r="352" spans="1:33" x14ac:dyDescent="0.3">
      <c r="A352" t="s">
        <v>33</v>
      </c>
      <c r="B352">
        <v>2013</v>
      </c>
      <c r="C352" t="s">
        <v>40</v>
      </c>
      <c r="D352" s="10">
        <f>DATE(All_India_Index_Upto_April23__13[[#This Row],[Year]],All_India_Index_Upto_April23__13[[#This Row],[Month Number]],1)</f>
        <v>41487</v>
      </c>
      <c r="E352" s="2" t="str">
        <f>IF(All_India_Index_Upto_April23__13[[#This Row],[Date]]&lt;DATE(2020, 3, 1),"Pre-COVID","Post-COVID")</f>
        <v>Pre-COVID</v>
      </c>
      <c r="F352">
        <v>115.6</v>
      </c>
      <c r="G352">
        <v>117.2</v>
      </c>
      <c r="H352">
        <v>111.7</v>
      </c>
      <c r="I352">
        <v>109.6</v>
      </c>
      <c r="J352">
        <v>104.5</v>
      </c>
      <c r="K352">
        <v>109.8</v>
      </c>
      <c r="L352">
        <v>151.80000000000001</v>
      </c>
      <c r="M352">
        <v>106.5</v>
      </c>
      <c r="N352">
        <v>103.1</v>
      </c>
      <c r="O352">
        <v>107.4</v>
      </c>
      <c r="P352">
        <v>110.2</v>
      </c>
      <c r="Q352">
        <v>113.4</v>
      </c>
      <c r="R352">
        <v>116.6</v>
      </c>
      <c r="S352">
        <v>111.2</v>
      </c>
      <c r="T352">
        <v>111</v>
      </c>
      <c r="U352">
        <v>109.4</v>
      </c>
      <c r="V352">
        <v>110.7</v>
      </c>
      <c r="W352" s="3">
        <v>108.9</v>
      </c>
      <c r="X352">
        <v>109.7</v>
      </c>
      <c r="Y352">
        <v>108.7</v>
      </c>
      <c r="Z352">
        <v>107.5</v>
      </c>
      <c r="AA352">
        <v>108</v>
      </c>
      <c r="AB352">
        <v>106.6</v>
      </c>
      <c r="AC352">
        <v>109.9</v>
      </c>
      <c r="AD352">
        <v>105.4</v>
      </c>
      <c r="AE352">
        <v>107.9</v>
      </c>
      <c r="AF352">
        <v>112.4</v>
      </c>
      <c r="AG35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8</v>
      </c>
    </row>
    <row r="353" spans="1:33" hidden="1" x14ac:dyDescent="0.3">
      <c r="A353" t="s">
        <v>30</v>
      </c>
      <c r="B353">
        <v>2022</v>
      </c>
      <c r="C353" t="s">
        <v>43</v>
      </c>
      <c r="D353" s="10">
        <f>DATE(All_India_Index_Upto_April23__13[[#This Row],[Year]],All_India_Index_Upto_April23__13[[#This Row],[Month Number]],1)</f>
        <v>44866</v>
      </c>
      <c r="E353" s="2" t="str">
        <f>IF(All_India_Index_Upto_April23__13[[#This Row],[Date]]&lt;DATE(2020, 3, 1),"Pre-COVID","Post-COVID")</f>
        <v>Post-COVID</v>
      </c>
      <c r="F353">
        <v>166.9</v>
      </c>
      <c r="G353">
        <v>207.2</v>
      </c>
      <c r="H353">
        <v>180.2</v>
      </c>
      <c r="I353">
        <v>172.3</v>
      </c>
      <c r="J353">
        <v>194</v>
      </c>
      <c r="K353">
        <v>159.1</v>
      </c>
      <c r="L353">
        <v>171.6</v>
      </c>
      <c r="M353">
        <v>170.2</v>
      </c>
      <c r="N353">
        <v>121.5</v>
      </c>
      <c r="O353">
        <v>204.8</v>
      </c>
      <c r="P353">
        <v>176.4</v>
      </c>
      <c r="Q353">
        <v>186.9</v>
      </c>
      <c r="R353">
        <v>176.6</v>
      </c>
      <c r="S353">
        <v>195.5</v>
      </c>
      <c r="T353">
        <v>187.2</v>
      </c>
      <c r="U353">
        <v>185.2</v>
      </c>
      <c r="V353">
        <v>186.9</v>
      </c>
      <c r="W353" s="3">
        <v>141</v>
      </c>
      <c r="X353">
        <v>181.9</v>
      </c>
      <c r="Y353">
        <v>175.5</v>
      </c>
      <c r="Z353">
        <v>182.3</v>
      </c>
      <c r="AA353">
        <v>167.5</v>
      </c>
      <c r="AB353">
        <v>170.8</v>
      </c>
      <c r="AC353">
        <v>176.9</v>
      </c>
      <c r="AD353">
        <v>173.4</v>
      </c>
      <c r="AE353">
        <v>174.6</v>
      </c>
      <c r="AF353">
        <v>177.8</v>
      </c>
      <c r="AG35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54" spans="1:33" hidden="1" x14ac:dyDescent="0.3">
      <c r="A354" t="s">
        <v>32</v>
      </c>
      <c r="B354">
        <v>2022</v>
      </c>
      <c r="C354" t="s">
        <v>43</v>
      </c>
      <c r="D354" s="10">
        <f>DATE(All_India_Index_Upto_April23__13[[#This Row],[Year]],All_India_Index_Upto_April23__13[[#This Row],[Month Number]],1)</f>
        <v>44866</v>
      </c>
      <c r="E354" s="2" t="str">
        <f>IF(All_India_Index_Upto_April23__13[[#This Row],[Date]]&lt;DATE(2020, 3, 1),"Pre-COVID","Post-COVID")</f>
        <v>Post-COVID</v>
      </c>
      <c r="F354">
        <v>168.4</v>
      </c>
      <c r="G354">
        <v>213.4</v>
      </c>
      <c r="H354">
        <v>183.2</v>
      </c>
      <c r="I354">
        <v>172.3</v>
      </c>
      <c r="J354">
        <v>180</v>
      </c>
      <c r="K354">
        <v>162.6</v>
      </c>
      <c r="L354">
        <v>205.5</v>
      </c>
      <c r="M354">
        <v>171</v>
      </c>
      <c r="N354">
        <v>123.4</v>
      </c>
      <c r="O354">
        <v>198.8</v>
      </c>
      <c r="P354">
        <v>162.1</v>
      </c>
      <c r="Q354">
        <v>192.4</v>
      </c>
      <c r="R354">
        <v>181.3</v>
      </c>
      <c r="S354">
        <v>200.6</v>
      </c>
      <c r="T354">
        <v>176.7</v>
      </c>
      <c r="U354">
        <v>163.5</v>
      </c>
      <c r="V354">
        <v>174.7</v>
      </c>
      <c r="W354" s="3">
        <v>171.8</v>
      </c>
      <c r="X354">
        <v>180.3</v>
      </c>
      <c r="Y354">
        <v>166.9</v>
      </c>
      <c r="Z354">
        <v>175.8</v>
      </c>
      <c r="AA354">
        <v>158.9</v>
      </c>
      <c r="AB354">
        <v>166.7</v>
      </c>
      <c r="AC354">
        <v>171.5</v>
      </c>
      <c r="AD354">
        <v>173.8</v>
      </c>
      <c r="AE354">
        <v>167.4</v>
      </c>
      <c r="AF354">
        <v>174.1</v>
      </c>
      <c r="AG35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11</v>
      </c>
    </row>
    <row r="355" spans="1:33" x14ac:dyDescent="0.3">
      <c r="A355" t="s">
        <v>33</v>
      </c>
      <c r="B355">
        <v>2013</v>
      </c>
      <c r="C355" t="s">
        <v>39</v>
      </c>
      <c r="D355" s="10">
        <f>DATE(All_India_Index_Upto_April23__13[[#This Row],[Year]],All_India_Index_Upto_April23__13[[#This Row],[Month Number]],1)</f>
        <v>41456</v>
      </c>
      <c r="E355" s="2" t="str">
        <f>IF(All_India_Index_Upto_April23__13[[#This Row],[Date]]&lt;DATE(2020, 3, 1),"Pre-COVID","Post-COVID")</f>
        <v>Pre-COVID</v>
      </c>
      <c r="F355">
        <v>114.8</v>
      </c>
      <c r="G355">
        <v>116.4</v>
      </c>
      <c r="H355">
        <v>111.9</v>
      </c>
      <c r="I355">
        <v>108.9</v>
      </c>
      <c r="J355">
        <v>104.3</v>
      </c>
      <c r="K355">
        <v>111.7</v>
      </c>
      <c r="L355">
        <v>140</v>
      </c>
      <c r="M355">
        <v>106.4</v>
      </c>
      <c r="N355">
        <v>103.3</v>
      </c>
      <c r="O355">
        <v>106.8</v>
      </c>
      <c r="P355">
        <v>109.6</v>
      </c>
      <c r="Q355">
        <v>112.6</v>
      </c>
      <c r="R355">
        <v>114.7</v>
      </c>
      <c r="S355">
        <v>110.3</v>
      </c>
      <c r="T355">
        <v>110.2</v>
      </c>
      <c r="U355">
        <v>108.8</v>
      </c>
      <c r="V355">
        <v>110</v>
      </c>
      <c r="W355" s="3">
        <v>107.7</v>
      </c>
      <c r="X355">
        <v>109.2</v>
      </c>
      <c r="Y355">
        <v>108.2</v>
      </c>
      <c r="Z355">
        <v>107</v>
      </c>
      <c r="AA355">
        <v>107.1</v>
      </c>
      <c r="AB355">
        <v>106.1</v>
      </c>
      <c r="AC355">
        <v>109.1</v>
      </c>
      <c r="AD355">
        <v>102.8</v>
      </c>
      <c r="AE355">
        <v>106.9</v>
      </c>
      <c r="AF355">
        <v>111</v>
      </c>
      <c r="AG35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7</v>
      </c>
    </row>
    <row r="356" spans="1:33" hidden="1" x14ac:dyDescent="0.3">
      <c r="A356" t="s">
        <v>30</v>
      </c>
      <c r="B356">
        <v>2022</v>
      </c>
      <c r="C356" t="s">
        <v>44</v>
      </c>
      <c r="D356" s="10">
        <f>DATE(All_India_Index_Upto_April23__13[[#This Row],[Year]],All_India_Index_Upto_April23__13[[#This Row],[Month Number]],1)</f>
        <v>44896</v>
      </c>
      <c r="E356" s="2" t="str">
        <f>IF(All_India_Index_Upto_April23__13[[#This Row],[Date]]&lt;DATE(2020, 3, 1),"Pre-COVID","Post-COVID")</f>
        <v>Post-COVID</v>
      </c>
      <c r="F356">
        <v>168.8</v>
      </c>
      <c r="G356">
        <v>206.9</v>
      </c>
      <c r="H356">
        <v>189.1</v>
      </c>
      <c r="I356">
        <v>173.4</v>
      </c>
      <c r="J356">
        <v>193.9</v>
      </c>
      <c r="K356">
        <v>156.69999999999999</v>
      </c>
      <c r="L356">
        <v>150.19999999999999</v>
      </c>
      <c r="M356">
        <v>170.5</v>
      </c>
      <c r="N356">
        <v>121.2</v>
      </c>
      <c r="O356">
        <v>207.5</v>
      </c>
      <c r="P356">
        <v>176.8</v>
      </c>
      <c r="Q356">
        <v>187.7</v>
      </c>
      <c r="R356">
        <v>174.4</v>
      </c>
      <c r="S356">
        <v>195.9</v>
      </c>
      <c r="T356">
        <v>188.1</v>
      </c>
      <c r="U356">
        <v>185.9</v>
      </c>
      <c r="V356">
        <v>187.8</v>
      </c>
      <c r="W356" s="3">
        <v>141</v>
      </c>
      <c r="X356">
        <v>182.8</v>
      </c>
      <c r="Y356">
        <v>176.4</v>
      </c>
      <c r="Z356">
        <v>183.5</v>
      </c>
      <c r="AA356">
        <v>167.8</v>
      </c>
      <c r="AB356">
        <v>171.2</v>
      </c>
      <c r="AC356">
        <v>177.3</v>
      </c>
      <c r="AD356">
        <v>175.7</v>
      </c>
      <c r="AE356">
        <v>175.5</v>
      </c>
      <c r="AF356">
        <v>177.1</v>
      </c>
      <c r="AG35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57" spans="1:33" hidden="1" x14ac:dyDescent="0.3">
      <c r="A357" t="s">
        <v>32</v>
      </c>
      <c r="B357">
        <v>2022</v>
      </c>
      <c r="C357" t="s">
        <v>44</v>
      </c>
      <c r="D357" s="10">
        <f>DATE(All_India_Index_Upto_April23__13[[#This Row],[Year]],All_India_Index_Upto_April23__13[[#This Row],[Month Number]],1)</f>
        <v>44896</v>
      </c>
      <c r="E357" s="2" t="str">
        <f>IF(All_India_Index_Upto_April23__13[[#This Row],[Date]]&lt;DATE(2020, 3, 1),"Pre-COVID","Post-COVID")</f>
        <v>Post-COVID</v>
      </c>
      <c r="F357">
        <v>170.2</v>
      </c>
      <c r="G357">
        <v>212.9</v>
      </c>
      <c r="H357">
        <v>191.9</v>
      </c>
      <c r="I357">
        <v>173.9</v>
      </c>
      <c r="J357">
        <v>179.1</v>
      </c>
      <c r="K357">
        <v>159.5</v>
      </c>
      <c r="L357">
        <v>178.7</v>
      </c>
      <c r="M357">
        <v>171.3</v>
      </c>
      <c r="N357">
        <v>123.1</v>
      </c>
      <c r="O357">
        <v>200.5</v>
      </c>
      <c r="P357">
        <v>162.80000000000001</v>
      </c>
      <c r="Q357">
        <v>193.3</v>
      </c>
      <c r="R357">
        <v>178.6</v>
      </c>
      <c r="S357">
        <v>201.1</v>
      </c>
      <c r="T357">
        <v>177.7</v>
      </c>
      <c r="U357">
        <v>164.5</v>
      </c>
      <c r="V357">
        <v>175.7</v>
      </c>
      <c r="W357" s="3">
        <v>170.7</v>
      </c>
      <c r="X357">
        <v>180.6</v>
      </c>
      <c r="Y357">
        <v>167.3</v>
      </c>
      <c r="Z357">
        <v>177.2</v>
      </c>
      <c r="AA357">
        <v>159.4</v>
      </c>
      <c r="AB357">
        <v>167.1</v>
      </c>
      <c r="AC357">
        <v>171.8</v>
      </c>
      <c r="AD357">
        <v>176</v>
      </c>
      <c r="AE357">
        <v>168.2</v>
      </c>
      <c r="AF357">
        <v>174.1</v>
      </c>
      <c r="AG35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12</v>
      </c>
    </row>
    <row r="358" spans="1:33" x14ac:dyDescent="0.3">
      <c r="A358" t="s">
        <v>33</v>
      </c>
      <c r="B358">
        <v>2013</v>
      </c>
      <c r="C358" t="s">
        <v>38</v>
      </c>
      <c r="D358" s="10">
        <f>DATE(All_India_Index_Upto_April23__13[[#This Row],[Year]],All_India_Index_Upto_April23__13[[#This Row],[Month Number]],1)</f>
        <v>41426</v>
      </c>
      <c r="E358" s="2" t="str">
        <f>IF(All_India_Index_Upto_April23__13[[#This Row],[Date]]&lt;DATE(2020, 3, 1),"Pre-COVID","Post-COVID")</f>
        <v>Pre-COVID</v>
      </c>
      <c r="F358">
        <v>113.8</v>
      </c>
      <c r="G358">
        <v>114.9</v>
      </c>
      <c r="H358">
        <v>109.8</v>
      </c>
      <c r="I358">
        <v>107.9</v>
      </c>
      <c r="J358">
        <v>104.2</v>
      </c>
      <c r="K358">
        <v>110.7</v>
      </c>
      <c r="L358">
        <v>126.7</v>
      </c>
      <c r="M358">
        <v>106.3</v>
      </c>
      <c r="N358">
        <v>103.2</v>
      </c>
      <c r="O358">
        <v>105.7</v>
      </c>
      <c r="P358">
        <v>109</v>
      </c>
      <c r="Q358">
        <v>111.6</v>
      </c>
      <c r="R358">
        <v>112.2</v>
      </c>
      <c r="S358">
        <v>109.5</v>
      </c>
      <c r="T358">
        <v>109.5</v>
      </c>
      <c r="U358">
        <v>108.1</v>
      </c>
      <c r="V358">
        <v>109.3</v>
      </c>
      <c r="W358" s="3">
        <v>106.6</v>
      </c>
      <c r="X358">
        <v>108.3</v>
      </c>
      <c r="Y358">
        <v>107.6</v>
      </c>
      <c r="Z358">
        <v>106.4</v>
      </c>
      <c r="AA358">
        <v>105.1</v>
      </c>
      <c r="AB358">
        <v>105.4</v>
      </c>
      <c r="AC358">
        <v>107.4</v>
      </c>
      <c r="AD358">
        <v>102.8</v>
      </c>
      <c r="AE358">
        <v>105.8</v>
      </c>
      <c r="AF358">
        <v>109.3</v>
      </c>
      <c r="AG35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6</v>
      </c>
    </row>
    <row r="359" spans="1:33" hidden="1" x14ac:dyDescent="0.3">
      <c r="A359" t="s">
        <v>30</v>
      </c>
      <c r="B359">
        <v>2023</v>
      </c>
      <c r="C359" t="s">
        <v>31</v>
      </c>
      <c r="D359" s="10">
        <f>DATE(All_India_Index_Upto_April23__13[[#This Row],[Year]],All_India_Index_Upto_April23__13[[#This Row],[Month Number]],1)</f>
        <v>44927</v>
      </c>
      <c r="E359" s="2" t="str">
        <f>IF(All_India_Index_Upto_April23__13[[#This Row],[Date]]&lt;DATE(2020, 3, 1),"Pre-COVID","Post-COVID")</f>
        <v>Post-COVID</v>
      </c>
      <c r="F359">
        <v>174</v>
      </c>
      <c r="G359">
        <v>208.3</v>
      </c>
      <c r="H359">
        <v>192.9</v>
      </c>
      <c r="I359">
        <v>174.3</v>
      </c>
      <c r="J359">
        <v>192.6</v>
      </c>
      <c r="K359">
        <v>156.30000000000001</v>
      </c>
      <c r="L359">
        <v>142.9</v>
      </c>
      <c r="M359">
        <v>170.7</v>
      </c>
      <c r="N359">
        <v>120.3</v>
      </c>
      <c r="O359">
        <v>210.5</v>
      </c>
      <c r="P359">
        <v>176.9</v>
      </c>
      <c r="Q359">
        <v>188.5</v>
      </c>
      <c r="R359">
        <v>175</v>
      </c>
      <c r="S359">
        <v>196.9</v>
      </c>
      <c r="T359">
        <v>189</v>
      </c>
      <c r="U359">
        <v>186.3</v>
      </c>
      <c r="V359">
        <v>188.6</v>
      </c>
      <c r="W359" s="3">
        <v>141</v>
      </c>
      <c r="X359">
        <v>183.2</v>
      </c>
      <c r="Y359">
        <v>177.2</v>
      </c>
      <c r="Z359">
        <v>184.7</v>
      </c>
      <c r="AA359">
        <v>168.2</v>
      </c>
      <c r="AB359">
        <v>171.8</v>
      </c>
      <c r="AC359">
        <v>177.8</v>
      </c>
      <c r="AD359">
        <v>178.4</v>
      </c>
      <c r="AE359">
        <v>176.5</v>
      </c>
      <c r="AF359">
        <v>177.8</v>
      </c>
      <c r="AG35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60" spans="1:33" hidden="1" x14ac:dyDescent="0.3">
      <c r="A360" t="s">
        <v>32</v>
      </c>
      <c r="B360">
        <v>2023</v>
      </c>
      <c r="C360" t="s">
        <v>31</v>
      </c>
      <c r="D360" s="10">
        <f>DATE(All_India_Index_Upto_April23__13[[#This Row],[Year]],All_India_Index_Upto_April23__13[[#This Row],[Month Number]],1)</f>
        <v>44927</v>
      </c>
      <c r="E360" s="2" t="str">
        <f>IF(All_India_Index_Upto_April23__13[[#This Row],[Date]]&lt;DATE(2020, 3, 1),"Pre-COVID","Post-COVID")</f>
        <v>Post-COVID</v>
      </c>
      <c r="F360">
        <v>173.3</v>
      </c>
      <c r="G360">
        <v>215.2</v>
      </c>
      <c r="H360">
        <v>197</v>
      </c>
      <c r="I360">
        <v>175.2</v>
      </c>
      <c r="J360">
        <v>178</v>
      </c>
      <c r="K360">
        <v>160.5</v>
      </c>
      <c r="L360">
        <v>175.3</v>
      </c>
      <c r="M360">
        <v>171.2</v>
      </c>
      <c r="N360">
        <v>122.7</v>
      </c>
      <c r="O360">
        <v>204.3</v>
      </c>
      <c r="P360">
        <v>163.69999999999999</v>
      </c>
      <c r="Q360">
        <v>194.3</v>
      </c>
      <c r="R360">
        <v>179.5</v>
      </c>
      <c r="S360">
        <v>201.6</v>
      </c>
      <c r="T360">
        <v>178.7</v>
      </c>
      <c r="U360">
        <v>165.3</v>
      </c>
      <c r="V360">
        <v>176.6</v>
      </c>
      <c r="W360" s="3">
        <v>172.1</v>
      </c>
      <c r="X360">
        <v>180.1</v>
      </c>
      <c r="Y360">
        <v>168</v>
      </c>
      <c r="Z360">
        <v>178.5</v>
      </c>
      <c r="AA360">
        <v>159.5</v>
      </c>
      <c r="AB360">
        <v>167.8</v>
      </c>
      <c r="AC360">
        <v>171.8</v>
      </c>
      <c r="AD360">
        <v>178.8</v>
      </c>
      <c r="AE360">
        <v>168.9</v>
      </c>
      <c r="AF360">
        <v>174.9</v>
      </c>
      <c r="AG36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row r="361" spans="1:33" x14ac:dyDescent="0.3">
      <c r="A361" t="s">
        <v>33</v>
      </c>
      <c r="B361">
        <v>2013</v>
      </c>
      <c r="C361" t="s">
        <v>37</v>
      </c>
      <c r="D361" s="10">
        <f>DATE(All_India_Index_Upto_April23__13[[#This Row],[Year]],All_India_Index_Upto_April23__13[[#This Row],[Month Number]],1)</f>
        <v>41395</v>
      </c>
      <c r="E361" s="2" t="str">
        <f>IF(All_India_Index_Upto_April23__13[[#This Row],[Date]]&lt;DATE(2020, 3, 1),"Pre-COVID","Post-COVID")</f>
        <v>Pre-COVID</v>
      </c>
      <c r="F361">
        <v>112.3</v>
      </c>
      <c r="G361">
        <v>111.3</v>
      </c>
      <c r="H361">
        <v>104.7</v>
      </c>
      <c r="I361">
        <v>106.8</v>
      </c>
      <c r="J361">
        <v>103.9</v>
      </c>
      <c r="K361">
        <v>109.3</v>
      </c>
      <c r="L361">
        <v>112.9</v>
      </c>
      <c r="M361">
        <v>105.8</v>
      </c>
      <c r="N361">
        <v>103.1</v>
      </c>
      <c r="O361">
        <v>104.3</v>
      </c>
      <c r="P361">
        <v>108.1</v>
      </c>
      <c r="Q361">
        <v>110.5</v>
      </c>
      <c r="R361">
        <v>109.2</v>
      </c>
      <c r="S361">
        <v>108.6</v>
      </c>
      <c r="T361">
        <v>108.7</v>
      </c>
      <c r="U361">
        <v>107.4</v>
      </c>
      <c r="V361">
        <v>108.5</v>
      </c>
      <c r="W361" s="3">
        <v>100.5</v>
      </c>
      <c r="X361">
        <v>107.4</v>
      </c>
      <c r="Y361">
        <v>106.9</v>
      </c>
      <c r="Z361">
        <v>105.9</v>
      </c>
      <c r="AA361">
        <v>104</v>
      </c>
      <c r="AB361">
        <v>104.8</v>
      </c>
      <c r="AC361">
        <v>105.6</v>
      </c>
      <c r="AD361">
        <v>102.3</v>
      </c>
      <c r="AE361">
        <v>104.8</v>
      </c>
      <c r="AF361">
        <v>106.9</v>
      </c>
      <c r="AG36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62" spans="1:33" hidden="1" x14ac:dyDescent="0.3">
      <c r="A362" t="s">
        <v>30</v>
      </c>
      <c r="B362">
        <v>2023</v>
      </c>
      <c r="C362" t="s">
        <v>34</v>
      </c>
      <c r="D362" s="10">
        <f>DATE(All_India_Index_Upto_April23__13[[#This Row],[Year]],All_India_Index_Upto_April23__13[[#This Row],[Month Number]],1)</f>
        <v>44958</v>
      </c>
      <c r="E362" s="2" t="str">
        <f>IF(All_India_Index_Upto_April23__13[[#This Row],[Date]]&lt;DATE(2020, 3, 1),"Pre-COVID","Post-COVID")</f>
        <v>Post-COVID</v>
      </c>
      <c r="F362">
        <v>174.2</v>
      </c>
      <c r="G362">
        <v>205.2</v>
      </c>
      <c r="H362">
        <v>173.9</v>
      </c>
      <c r="I362">
        <v>177</v>
      </c>
      <c r="J362">
        <v>183.4</v>
      </c>
      <c r="K362">
        <v>167.2</v>
      </c>
      <c r="L362">
        <v>140.9</v>
      </c>
      <c r="M362">
        <v>170.4</v>
      </c>
      <c r="N362">
        <v>119.1</v>
      </c>
      <c r="O362">
        <v>212.1</v>
      </c>
      <c r="P362">
        <v>177.6</v>
      </c>
      <c r="Q362">
        <v>189.9</v>
      </c>
      <c r="R362">
        <v>174.8</v>
      </c>
      <c r="S362">
        <v>198.3</v>
      </c>
      <c r="T362">
        <v>190</v>
      </c>
      <c r="U362">
        <v>187</v>
      </c>
      <c r="V362">
        <v>189.6</v>
      </c>
      <c r="W362" s="3">
        <v>141</v>
      </c>
      <c r="X362">
        <v>181.6</v>
      </c>
      <c r="Y362">
        <v>178.6</v>
      </c>
      <c r="Z362">
        <v>186.6</v>
      </c>
      <c r="AA362">
        <v>169</v>
      </c>
      <c r="AB362">
        <v>172.8</v>
      </c>
      <c r="AC362">
        <v>178.5</v>
      </c>
      <c r="AD362">
        <v>180.7</v>
      </c>
      <c r="AE362">
        <v>177.9</v>
      </c>
      <c r="AF362">
        <v>178</v>
      </c>
      <c r="AG36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63" spans="1:33" hidden="1" x14ac:dyDescent="0.3">
      <c r="A363" t="s">
        <v>32</v>
      </c>
      <c r="B363">
        <v>2023</v>
      </c>
      <c r="C363" t="s">
        <v>34</v>
      </c>
      <c r="D363" s="10">
        <f>DATE(All_India_Index_Upto_April23__13[[#This Row],[Year]],All_India_Index_Upto_April23__13[[#This Row],[Month Number]],1)</f>
        <v>44958</v>
      </c>
      <c r="E363" s="2" t="str">
        <f>IF(All_India_Index_Upto_April23__13[[#This Row],[Date]]&lt;DATE(2020, 3, 1),"Pre-COVID","Post-COVID")</f>
        <v>Post-COVID</v>
      </c>
      <c r="F363">
        <v>174.7</v>
      </c>
      <c r="G363">
        <v>212.2</v>
      </c>
      <c r="H363">
        <v>177.2</v>
      </c>
      <c r="I363">
        <v>177.9</v>
      </c>
      <c r="J363">
        <v>172.2</v>
      </c>
      <c r="K363">
        <v>172.1</v>
      </c>
      <c r="L363">
        <v>175.8</v>
      </c>
      <c r="M363">
        <v>172.2</v>
      </c>
      <c r="N363">
        <v>121.9</v>
      </c>
      <c r="O363">
        <v>204.8</v>
      </c>
      <c r="P363">
        <v>164.9</v>
      </c>
      <c r="Q363">
        <v>196.6</v>
      </c>
      <c r="R363">
        <v>180.7</v>
      </c>
      <c r="S363">
        <v>202.7</v>
      </c>
      <c r="T363">
        <v>180.3</v>
      </c>
      <c r="U363">
        <v>167</v>
      </c>
      <c r="V363">
        <v>178.2</v>
      </c>
      <c r="W363" s="3">
        <v>173.5</v>
      </c>
      <c r="X363">
        <v>182.8</v>
      </c>
      <c r="Y363">
        <v>169.2</v>
      </c>
      <c r="Z363">
        <v>180.8</v>
      </c>
      <c r="AA363">
        <v>159.80000000000001</v>
      </c>
      <c r="AB363">
        <v>168.4</v>
      </c>
      <c r="AC363">
        <v>172.5</v>
      </c>
      <c r="AD363">
        <v>181.4</v>
      </c>
      <c r="AE363">
        <v>170</v>
      </c>
      <c r="AF363">
        <v>176.3</v>
      </c>
      <c r="AG36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64" spans="1:33" x14ac:dyDescent="0.3">
      <c r="A364" t="s">
        <v>33</v>
      </c>
      <c r="B364">
        <v>2013</v>
      </c>
      <c r="C364" t="s">
        <v>36</v>
      </c>
      <c r="D364" s="10">
        <f>DATE(All_India_Index_Upto_April23__13[[#This Row],[Year]],All_India_Index_Upto_April23__13[[#This Row],[Month Number]],1)</f>
        <v>41365</v>
      </c>
      <c r="E364" s="2" t="str">
        <f>IF(All_India_Index_Upto_April23__13[[#This Row],[Date]]&lt;DATE(2020, 3, 1),"Pre-COVID","Post-COVID")</f>
        <v>Pre-COVID</v>
      </c>
      <c r="F364">
        <v>111.6</v>
      </c>
      <c r="G364">
        <v>110.9</v>
      </c>
      <c r="H364">
        <v>106.6</v>
      </c>
      <c r="I364">
        <v>105.7</v>
      </c>
      <c r="J364">
        <v>104.4</v>
      </c>
      <c r="K364">
        <v>108.9</v>
      </c>
      <c r="L364">
        <v>105.5</v>
      </c>
      <c r="M364">
        <v>105.3</v>
      </c>
      <c r="N364">
        <v>103.5</v>
      </c>
      <c r="O364">
        <v>103.3</v>
      </c>
      <c r="P364">
        <v>107.2</v>
      </c>
      <c r="Q364">
        <v>109.6</v>
      </c>
      <c r="R364">
        <v>107.7</v>
      </c>
      <c r="S364">
        <v>107.5</v>
      </c>
      <c r="T364">
        <v>108</v>
      </c>
      <c r="U364">
        <v>107</v>
      </c>
      <c r="V364">
        <v>107.9</v>
      </c>
      <c r="W364" s="3">
        <v>100.5</v>
      </c>
      <c r="X364">
        <v>106.5</v>
      </c>
      <c r="Y364">
        <v>106.3</v>
      </c>
      <c r="Z364">
        <v>105.3</v>
      </c>
      <c r="AA364">
        <v>104.7</v>
      </c>
      <c r="AB364">
        <v>104.2</v>
      </c>
      <c r="AC364">
        <v>105</v>
      </c>
      <c r="AD364">
        <v>102.9</v>
      </c>
      <c r="AE364">
        <v>104.8</v>
      </c>
      <c r="AF364">
        <v>106.1</v>
      </c>
      <c r="AG364"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65" spans="1:33" hidden="1" x14ac:dyDescent="0.3">
      <c r="A365" t="s">
        <v>30</v>
      </c>
      <c r="B365">
        <v>2023</v>
      </c>
      <c r="C365" t="s">
        <v>35</v>
      </c>
      <c r="D365" s="10">
        <f>DATE(All_India_Index_Upto_April23__13[[#This Row],[Year]],All_India_Index_Upto_April23__13[[#This Row],[Month Number]],1)</f>
        <v>44986</v>
      </c>
      <c r="E365" s="2" t="str">
        <f>IF(All_India_Index_Upto_April23__13[[#This Row],[Date]]&lt;DATE(2020, 3, 1),"Pre-COVID","Post-COVID")</f>
        <v>Post-COVID</v>
      </c>
      <c r="F365">
        <v>174.3</v>
      </c>
      <c r="G365">
        <v>205.2</v>
      </c>
      <c r="H365">
        <v>173.9</v>
      </c>
      <c r="I365">
        <v>177</v>
      </c>
      <c r="J365">
        <v>183.3</v>
      </c>
      <c r="K365">
        <v>167.2</v>
      </c>
      <c r="L365">
        <v>140.9</v>
      </c>
      <c r="M365">
        <v>170.5</v>
      </c>
      <c r="N365">
        <v>119.1</v>
      </c>
      <c r="O365">
        <v>212.1</v>
      </c>
      <c r="P365">
        <v>177.6</v>
      </c>
      <c r="Q365">
        <v>189.9</v>
      </c>
      <c r="R365">
        <v>174.8</v>
      </c>
      <c r="S365">
        <v>198.4</v>
      </c>
      <c r="T365">
        <v>190</v>
      </c>
      <c r="U365">
        <v>187</v>
      </c>
      <c r="V365">
        <v>189.6</v>
      </c>
      <c r="W365" s="3">
        <v>141</v>
      </c>
      <c r="X365">
        <v>181.4</v>
      </c>
      <c r="Y365">
        <v>178.6</v>
      </c>
      <c r="Z365">
        <v>186.6</v>
      </c>
      <c r="AA365">
        <v>169</v>
      </c>
      <c r="AB365">
        <v>172.8</v>
      </c>
      <c r="AC365">
        <v>178.5</v>
      </c>
      <c r="AD365">
        <v>180.7</v>
      </c>
      <c r="AE365">
        <v>177.9</v>
      </c>
      <c r="AF365">
        <v>178</v>
      </c>
      <c r="AG365"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66" spans="1:33" hidden="1" x14ac:dyDescent="0.3">
      <c r="A366" t="s">
        <v>32</v>
      </c>
      <c r="B366">
        <v>2023</v>
      </c>
      <c r="C366" t="s">
        <v>35</v>
      </c>
      <c r="D366" s="10">
        <f>DATE(All_India_Index_Upto_April23__13[[#This Row],[Year]],All_India_Index_Upto_April23__13[[#This Row],[Month Number]],1)</f>
        <v>44986</v>
      </c>
      <c r="E366" s="2" t="str">
        <f>IF(All_India_Index_Upto_April23__13[[#This Row],[Date]]&lt;DATE(2020, 3, 1),"Pre-COVID","Post-COVID")</f>
        <v>Post-COVID</v>
      </c>
      <c r="F366">
        <v>174.7</v>
      </c>
      <c r="G366">
        <v>212.2</v>
      </c>
      <c r="H366">
        <v>177.2</v>
      </c>
      <c r="I366">
        <v>177.9</v>
      </c>
      <c r="J366">
        <v>172.2</v>
      </c>
      <c r="K366">
        <v>172.1</v>
      </c>
      <c r="L366">
        <v>175.9</v>
      </c>
      <c r="M366">
        <v>172.2</v>
      </c>
      <c r="N366">
        <v>121.9</v>
      </c>
      <c r="O366">
        <v>204.8</v>
      </c>
      <c r="P366">
        <v>164.9</v>
      </c>
      <c r="Q366">
        <v>196.6</v>
      </c>
      <c r="R366">
        <v>180.8</v>
      </c>
      <c r="S366">
        <v>202.7</v>
      </c>
      <c r="T366">
        <v>180.2</v>
      </c>
      <c r="U366">
        <v>167</v>
      </c>
      <c r="V366">
        <v>178.2</v>
      </c>
      <c r="W366" s="3">
        <v>173.5</v>
      </c>
      <c r="X366">
        <v>182.6</v>
      </c>
      <c r="Y366">
        <v>169.2</v>
      </c>
      <c r="Z366">
        <v>180.8</v>
      </c>
      <c r="AA366">
        <v>159.80000000000001</v>
      </c>
      <c r="AB366">
        <v>168.4</v>
      </c>
      <c r="AC366">
        <v>172.5</v>
      </c>
      <c r="AD366">
        <v>181.5</v>
      </c>
      <c r="AE366">
        <v>170</v>
      </c>
      <c r="AF366">
        <v>176.3</v>
      </c>
      <c r="AG366"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67" spans="1:33" x14ac:dyDescent="0.3">
      <c r="A367" t="s">
        <v>33</v>
      </c>
      <c r="B367">
        <v>2013</v>
      </c>
      <c r="C367" t="s">
        <v>35</v>
      </c>
      <c r="D367" s="10">
        <f>DATE(All_India_Index_Upto_April23__13[[#This Row],[Year]],All_India_Index_Upto_April23__13[[#This Row],[Month Number]],1)</f>
        <v>41334</v>
      </c>
      <c r="E367" s="2" t="str">
        <f>IF(All_India_Index_Upto_April23__13[[#This Row],[Date]]&lt;DATE(2020, 3, 1),"Pre-COVID","Post-COVID")</f>
        <v>Pre-COVID</v>
      </c>
      <c r="F367">
        <v>111.4</v>
      </c>
      <c r="G367">
        <v>109.7</v>
      </c>
      <c r="H367">
        <v>111.2</v>
      </c>
      <c r="I367">
        <v>105.1</v>
      </c>
      <c r="J367">
        <v>104.9</v>
      </c>
      <c r="K367">
        <v>105.3</v>
      </c>
      <c r="L367">
        <v>102.2</v>
      </c>
      <c r="M367">
        <v>105</v>
      </c>
      <c r="N367">
        <v>104.2</v>
      </c>
      <c r="O367">
        <v>103</v>
      </c>
      <c r="P367">
        <v>106.2</v>
      </c>
      <c r="Q367">
        <v>108.9</v>
      </c>
      <c r="R367">
        <v>106.9</v>
      </c>
      <c r="S367">
        <v>106.6</v>
      </c>
      <c r="T367">
        <v>107.4</v>
      </c>
      <c r="U367">
        <v>106.5</v>
      </c>
      <c r="V367">
        <v>107.3</v>
      </c>
      <c r="W367" s="3">
        <v>100.4</v>
      </c>
      <c r="X367">
        <v>106.1</v>
      </c>
      <c r="Y367">
        <v>105.6</v>
      </c>
      <c r="Z367">
        <v>104.9</v>
      </c>
      <c r="AA367">
        <v>105.1</v>
      </c>
      <c r="AB367">
        <v>103.7</v>
      </c>
      <c r="AC367">
        <v>104</v>
      </c>
      <c r="AD367">
        <v>104.3</v>
      </c>
      <c r="AE367">
        <v>104.7</v>
      </c>
      <c r="AF367">
        <v>105.5</v>
      </c>
      <c r="AG367"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3</v>
      </c>
    </row>
    <row r="368" spans="1:33" hidden="1" x14ac:dyDescent="0.3">
      <c r="A368" t="s">
        <v>30</v>
      </c>
      <c r="B368">
        <v>2023</v>
      </c>
      <c r="C368" t="s">
        <v>36</v>
      </c>
      <c r="D368" s="10">
        <f>DATE(All_India_Index_Upto_April23__13[[#This Row],[Year]],All_India_Index_Upto_April23__13[[#This Row],[Month Number]],1)</f>
        <v>45017</v>
      </c>
      <c r="E368" s="2" t="str">
        <f>IF(All_India_Index_Upto_April23__13[[#This Row],[Date]]&lt;DATE(2020, 3, 1),"Pre-COVID","Post-COVID")</f>
        <v>Post-COVID</v>
      </c>
      <c r="F368">
        <v>173.3</v>
      </c>
      <c r="G368">
        <v>206.9</v>
      </c>
      <c r="H368">
        <v>167.9</v>
      </c>
      <c r="I368">
        <v>178.2</v>
      </c>
      <c r="J368">
        <v>178.5</v>
      </c>
      <c r="K368">
        <v>173.7</v>
      </c>
      <c r="L368">
        <v>142.80000000000001</v>
      </c>
      <c r="M368">
        <v>172.8</v>
      </c>
      <c r="N368">
        <v>120.4</v>
      </c>
      <c r="O368">
        <v>215.5</v>
      </c>
      <c r="P368">
        <v>178.2</v>
      </c>
      <c r="Q368">
        <v>190.5</v>
      </c>
      <c r="R368">
        <v>175.5</v>
      </c>
      <c r="S368">
        <v>199.5</v>
      </c>
      <c r="T368">
        <v>190.7</v>
      </c>
      <c r="U368">
        <v>187.3</v>
      </c>
      <c r="V368">
        <v>190.2</v>
      </c>
      <c r="W368" s="3">
        <v>141</v>
      </c>
      <c r="X368">
        <v>181.5</v>
      </c>
      <c r="Y368">
        <v>179.1</v>
      </c>
      <c r="Z368">
        <v>187.2</v>
      </c>
      <c r="AA368">
        <v>169.4</v>
      </c>
      <c r="AB368">
        <v>173.2</v>
      </c>
      <c r="AC368">
        <v>179.4</v>
      </c>
      <c r="AD368">
        <v>183.8</v>
      </c>
      <c r="AE368">
        <v>178.9</v>
      </c>
      <c r="AF368">
        <v>178.8</v>
      </c>
      <c r="AG368"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69" spans="1:33" hidden="1" x14ac:dyDescent="0.3">
      <c r="A369" t="s">
        <v>32</v>
      </c>
      <c r="B369">
        <v>2023</v>
      </c>
      <c r="C369" t="s">
        <v>36</v>
      </c>
      <c r="D369" s="10">
        <f>DATE(All_India_Index_Upto_April23__13[[#This Row],[Year]],All_India_Index_Upto_April23__13[[#This Row],[Month Number]],1)</f>
        <v>45017</v>
      </c>
      <c r="E369" s="2" t="str">
        <f>IF(All_India_Index_Upto_April23__13[[#This Row],[Date]]&lt;DATE(2020, 3, 1),"Pre-COVID","Post-COVID")</f>
        <v>Post-COVID</v>
      </c>
      <c r="F369">
        <v>174.8</v>
      </c>
      <c r="G369">
        <v>213.7</v>
      </c>
      <c r="H369">
        <v>172.4</v>
      </c>
      <c r="I369">
        <v>178.8</v>
      </c>
      <c r="J369">
        <v>168.7</v>
      </c>
      <c r="K369">
        <v>179.2</v>
      </c>
      <c r="L369">
        <v>179.9</v>
      </c>
      <c r="M369">
        <v>174.7</v>
      </c>
      <c r="N369">
        <v>123.1</v>
      </c>
      <c r="O369">
        <v>207.8</v>
      </c>
      <c r="P369">
        <v>165.5</v>
      </c>
      <c r="Q369">
        <v>197</v>
      </c>
      <c r="R369">
        <v>182.1</v>
      </c>
      <c r="S369">
        <v>203.5</v>
      </c>
      <c r="T369">
        <v>181</v>
      </c>
      <c r="U369">
        <v>167.7</v>
      </c>
      <c r="V369">
        <v>178.9</v>
      </c>
      <c r="W369" s="3">
        <v>175.2</v>
      </c>
      <c r="X369">
        <v>182.1</v>
      </c>
      <c r="Y369">
        <v>169.6</v>
      </c>
      <c r="Z369">
        <v>181.5</v>
      </c>
      <c r="AA369">
        <v>160.1</v>
      </c>
      <c r="AB369">
        <v>168.8</v>
      </c>
      <c r="AC369">
        <v>174.2</v>
      </c>
      <c r="AD369">
        <v>184.4</v>
      </c>
      <c r="AE369">
        <v>170.9</v>
      </c>
      <c r="AF369">
        <v>177.4</v>
      </c>
      <c r="AG369"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4</v>
      </c>
    </row>
    <row r="370" spans="1:33" x14ac:dyDescent="0.3">
      <c r="A370" t="s">
        <v>33</v>
      </c>
      <c r="B370">
        <v>2013</v>
      </c>
      <c r="C370" t="s">
        <v>34</v>
      </c>
      <c r="D370" s="10">
        <f>DATE(All_India_Index_Upto_April23__13[[#This Row],[Year]],All_India_Index_Upto_April23__13[[#This Row],[Month Number]],1)</f>
        <v>41306</v>
      </c>
      <c r="E370" s="2" t="str">
        <f>IF(All_India_Index_Upto_April23__13[[#This Row],[Date]]&lt;DATE(2020, 3, 1),"Pre-COVID","Post-COVID")</f>
        <v>Pre-COVID</v>
      </c>
      <c r="F370">
        <v>110.4</v>
      </c>
      <c r="G370">
        <v>110.2</v>
      </c>
      <c r="H370">
        <v>112.8</v>
      </c>
      <c r="I370">
        <v>104.9</v>
      </c>
      <c r="J370">
        <v>105.5</v>
      </c>
      <c r="K370">
        <v>103.6</v>
      </c>
      <c r="L370">
        <v>103.2</v>
      </c>
      <c r="M370">
        <v>105.3</v>
      </c>
      <c r="N370">
        <v>105.1</v>
      </c>
      <c r="O370">
        <v>102.8</v>
      </c>
      <c r="P370">
        <v>105.5</v>
      </c>
      <c r="Q370">
        <v>108.3</v>
      </c>
      <c r="R370">
        <v>106.6</v>
      </c>
      <c r="S370">
        <v>105.7</v>
      </c>
      <c r="T370">
        <v>106.9</v>
      </c>
      <c r="U370">
        <v>106</v>
      </c>
      <c r="V370">
        <v>106.8</v>
      </c>
      <c r="W370" s="3">
        <v>100.4</v>
      </c>
      <c r="X370">
        <v>106</v>
      </c>
      <c r="Y370">
        <v>105.2</v>
      </c>
      <c r="Z370">
        <v>104.5</v>
      </c>
      <c r="AA370">
        <v>104.2</v>
      </c>
      <c r="AB370">
        <v>103.6</v>
      </c>
      <c r="AC370">
        <v>103.9</v>
      </c>
      <c r="AD370">
        <v>104.5</v>
      </c>
      <c r="AE370">
        <v>104.4</v>
      </c>
      <c r="AF370">
        <v>105.3</v>
      </c>
      <c r="AG370"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2</v>
      </c>
    </row>
    <row r="371" spans="1:33" hidden="1" x14ac:dyDescent="0.3">
      <c r="A371" t="s">
        <v>30</v>
      </c>
      <c r="B371">
        <v>2023</v>
      </c>
      <c r="C371" t="s">
        <v>37</v>
      </c>
      <c r="D371" s="10">
        <f>DATE(All_India_Index_Upto_April23__13[[#This Row],[Year]],All_India_Index_Upto_April23__13[[#This Row],[Month Number]],1)</f>
        <v>45047</v>
      </c>
      <c r="E371" s="2" t="str">
        <f>IF(All_India_Index_Upto_April23__13[[#This Row],[Date]]&lt;DATE(2020, 3, 1),"Pre-COVID","Post-COVID")</f>
        <v>Post-COVID</v>
      </c>
      <c r="F371">
        <v>173.2</v>
      </c>
      <c r="G371">
        <v>211.5</v>
      </c>
      <c r="H371">
        <v>171</v>
      </c>
      <c r="I371">
        <v>179.6</v>
      </c>
      <c r="J371">
        <v>173.3</v>
      </c>
      <c r="K371">
        <v>169</v>
      </c>
      <c r="L371">
        <v>148.69999999999999</v>
      </c>
      <c r="M371">
        <v>174.9</v>
      </c>
      <c r="N371">
        <v>121.9</v>
      </c>
      <c r="O371">
        <v>221</v>
      </c>
      <c r="P371">
        <v>178.7</v>
      </c>
      <c r="Q371">
        <v>191.1</v>
      </c>
      <c r="R371">
        <v>176.8</v>
      </c>
      <c r="S371">
        <v>199.9</v>
      </c>
      <c r="T371">
        <v>191.2</v>
      </c>
      <c r="U371">
        <v>187.9</v>
      </c>
      <c r="V371">
        <v>190.8</v>
      </c>
      <c r="W371" s="3">
        <v>141</v>
      </c>
      <c r="X371">
        <v>182.5</v>
      </c>
      <c r="Y371">
        <v>179.8</v>
      </c>
      <c r="Z371">
        <v>187.8</v>
      </c>
      <c r="AA371">
        <v>169.7</v>
      </c>
      <c r="AB371">
        <v>173.8</v>
      </c>
      <c r="AC371">
        <v>180.3</v>
      </c>
      <c r="AD371">
        <v>184.9</v>
      </c>
      <c r="AE371">
        <v>179.5</v>
      </c>
      <c r="AF371">
        <v>179.8</v>
      </c>
      <c r="AG371"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72" spans="1:33" hidden="1" x14ac:dyDescent="0.3">
      <c r="A372" t="s">
        <v>32</v>
      </c>
      <c r="B372">
        <v>2023</v>
      </c>
      <c r="C372" t="s">
        <v>37</v>
      </c>
      <c r="D372" s="10">
        <f>DATE(All_India_Index_Upto_April23__13[[#This Row],[Year]],All_India_Index_Upto_April23__13[[#This Row],[Month Number]],1)</f>
        <v>45047</v>
      </c>
      <c r="E372" s="2" t="str">
        <f>IF(All_India_Index_Upto_April23__13[[#This Row],[Date]]&lt;DATE(2020, 3, 1),"Pre-COVID","Post-COVID")</f>
        <v>Post-COVID</v>
      </c>
      <c r="F372">
        <v>174.7</v>
      </c>
      <c r="G372">
        <v>219.4</v>
      </c>
      <c r="H372">
        <v>176.7</v>
      </c>
      <c r="I372">
        <v>179.4</v>
      </c>
      <c r="J372">
        <v>164.4</v>
      </c>
      <c r="K372">
        <v>175.8</v>
      </c>
      <c r="L372">
        <v>185</v>
      </c>
      <c r="M372">
        <v>176.9</v>
      </c>
      <c r="N372">
        <v>124.2</v>
      </c>
      <c r="O372">
        <v>211.9</v>
      </c>
      <c r="P372">
        <v>165.9</v>
      </c>
      <c r="Q372">
        <v>197.7</v>
      </c>
      <c r="R372">
        <v>183.1</v>
      </c>
      <c r="S372">
        <v>204.2</v>
      </c>
      <c r="T372">
        <v>181.3</v>
      </c>
      <c r="U372">
        <v>168.1</v>
      </c>
      <c r="V372">
        <v>179.3</v>
      </c>
      <c r="W372" s="3">
        <v>175.6</v>
      </c>
      <c r="X372">
        <v>183.4</v>
      </c>
      <c r="Y372">
        <v>170.1</v>
      </c>
      <c r="Z372">
        <v>182.2</v>
      </c>
      <c r="AA372">
        <v>160.4</v>
      </c>
      <c r="AB372">
        <v>169.2</v>
      </c>
      <c r="AC372">
        <v>174.8</v>
      </c>
      <c r="AD372">
        <v>185.6</v>
      </c>
      <c r="AE372">
        <v>171.6</v>
      </c>
      <c r="AF372">
        <v>178.2</v>
      </c>
      <c r="AG372"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5</v>
      </c>
    </row>
    <row r="373" spans="1:33" x14ac:dyDescent="0.3">
      <c r="A373" t="s">
        <v>33</v>
      </c>
      <c r="B373">
        <v>2013</v>
      </c>
      <c r="C373" t="s">
        <v>31</v>
      </c>
      <c r="D373" s="10">
        <f>DATE(All_India_Index_Upto_April23__13[[#This Row],[Year]],All_India_Index_Upto_April23__13[[#This Row],[Month Number]],1)</f>
        <v>41275</v>
      </c>
      <c r="E373" s="2" t="str">
        <f>IF(All_India_Index_Upto_April23__13[[#This Row],[Date]]&lt;DATE(2020, 3, 1),"Pre-COVID","Post-COVID")</f>
        <v>Pre-COVID</v>
      </c>
      <c r="F373">
        <v>108.4</v>
      </c>
      <c r="G373">
        <v>107.3</v>
      </c>
      <c r="H373">
        <v>110</v>
      </c>
      <c r="I373">
        <v>104.4</v>
      </c>
      <c r="J373">
        <v>105.1</v>
      </c>
      <c r="K373">
        <v>103.2</v>
      </c>
      <c r="L373">
        <v>102.2</v>
      </c>
      <c r="M373">
        <v>106</v>
      </c>
      <c r="N373">
        <v>106.2</v>
      </c>
      <c r="O373">
        <v>102.7</v>
      </c>
      <c r="P373">
        <v>104.9</v>
      </c>
      <c r="Q373">
        <v>107.3</v>
      </c>
      <c r="R373">
        <v>105.6</v>
      </c>
      <c r="S373">
        <v>105.1</v>
      </c>
      <c r="T373">
        <v>106.3</v>
      </c>
      <c r="U373">
        <v>105.5</v>
      </c>
      <c r="V373">
        <v>106.2</v>
      </c>
      <c r="W373" s="3">
        <v>100.3</v>
      </c>
      <c r="X373">
        <v>105.5</v>
      </c>
      <c r="Y373">
        <v>104.8</v>
      </c>
      <c r="Z373">
        <v>104</v>
      </c>
      <c r="AA373">
        <v>103.2</v>
      </c>
      <c r="AB373">
        <v>103.1</v>
      </c>
      <c r="AC373">
        <v>103.6</v>
      </c>
      <c r="AD373">
        <v>104.5</v>
      </c>
      <c r="AE373">
        <v>103.9</v>
      </c>
      <c r="AF373">
        <v>104.6</v>
      </c>
      <c r="AG373" s="2">
        <f>IF(All_India_Index_Upto_April23__13[[#This Row],[Month]] = "January", 1,IF(All_India_Index_Upto_April23__13[[#This Row],[Month]]="February",2,IF(All_India_Index_Upto_April23__13[[#This Row],[Month]]="March",3,IF(All_India_Index_Upto_April23__13[[#This Row],[Month]]="Marcrh",3,IF(All_India_Index_Upto_April23__13[[#This Row],[Month]]="April",4,IF(All_India_Index_Upto_April23__13[[#This Row],[Month]]="May",5,IF(All_India_Index_Upto_April23__13[[#This Row],[Month]]="June",6,IF(All_India_Index_Upto_April23__13[[#This Row],[Month]]="July",7,IF(All_India_Index_Upto_April23__13[[#This Row],[Month]]="August",8,IF(All_India_Index_Upto_April23__13[[#This Row],[Month]]="September",9,IF(All_India_Index_Upto_April23__13[[#This Row],[Month]]="October",10,IF(All_India_Index_Upto_April23__13[[#This Row],[Month]]="November",11,IF(All_India_Index_Upto_April23__13[[#This Row],[Month]]="December",12)))))))))))))</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3A026-2F7D-4D78-8CF7-5D44D10845E3}">
  <dimension ref="C4:AB24"/>
  <sheetViews>
    <sheetView showGridLines="0" tabSelected="1" topLeftCell="A28" zoomScale="70" zoomScaleNormal="70" workbookViewId="0">
      <selection activeCell="U44" sqref="U44"/>
    </sheetView>
  </sheetViews>
  <sheetFormatPr defaultRowHeight="14.4" x14ac:dyDescent="0.3"/>
  <cols>
    <col min="3" max="3" width="16.77734375" customWidth="1"/>
    <col min="7" max="7" width="22.21875" bestFit="1" customWidth="1"/>
    <col min="9" max="9" width="3.44140625" customWidth="1"/>
    <col min="11" max="11" width="19.33203125" bestFit="1" customWidth="1"/>
  </cols>
  <sheetData>
    <row r="4" spans="3:17" ht="18" x14ac:dyDescent="0.35">
      <c r="D4" s="53" t="s">
        <v>124</v>
      </c>
      <c r="E4" s="53"/>
      <c r="F4" s="53"/>
      <c r="G4" s="53"/>
      <c r="H4" s="53"/>
      <c r="I4" s="53"/>
      <c r="J4" s="53"/>
      <c r="K4" s="53"/>
      <c r="L4" s="53"/>
      <c r="M4" s="53"/>
      <c r="N4" s="53"/>
      <c r="O4" s="53"/>
    </row>
    <row r="6" spans="3:17" ht="14.4" customHeight="1" x14ac:dyDescent="0.3">
      <c r="C6" s="56" t="s">
        <v>108</v>
      </c>
      <c r="D6" s="56"/>
      <c r="E6" s="56"/>
      <c r="G6" s="56" t="s">
        <v>109</v>
      </c>
      <c r="H6" s="56"/>
      <c r="I6" s="56"/>
      <c r="K6" s="56" t="s">
        <v>110</v>
      </c>
      <c r="L6" s="56"/>
      <c r="M6" s="56"/>
      <c r="O6" s="56" t="s">
        <v>111</v>
      </c>
      <c r="P6" s="56"/>
      <c r="Q6" s="56"/>
    </row>
    <row r="7" spans="3:17" x14ac:dyDescent="0.3">
      <c r="C7" s="56"/>
      <c r="D7" s="56"/>
      <c r="E7" s="56"/>
      <c r="G7" s="56"/>
      <c r="H7" s="56"/>
      <c r="I7" s="56"/>
      <c r="K7" s="56"/>
      <c r="L7" s="56"/>
      <c r="M7" s="56"/>
      <c r="O7" s="56"/>
      <c r="P7" s="56"/>
      <c r="Q7" s="56"/>
    </row>
    <row r="8" spans="3:17" x14ac:dyDescent="0.3">
      <c r="C8" s="56"/>
      <c r="D8" s="56"/>
      <c r="E8" s="56"/>
      <c r="G8" s="56"/>
      <c r="H8" s="56"/>
      <c r="I8" s="56"/>
      <c r="K8" s="56"/>
      <c r="L8" s="56"/>
      <c r="M8" s="56"/>
      <c r="O8" s="56"/>
      <c r="P8" s="56"/>
      <c r="Q8" s="56"/>
    </row>
    <row r="11" spans="3:17" ht="15.6" x14ac:dyDescent="0.3">
      <c r="C11" s="57" t="s">
        <v>94</v>
      </c>
      <c r="D11" s="58"/>
      <c r="E11" s="58"/>
      <c r="G11" s="57" t="s">
        <v>91</v>
      </c>
      <c r="H11" s="58"/>
      <c r="I11" s="58"/>
      <c r="K11" s="57" t="s">
        <v>95</v>
      </c>
      <c r="L11" s="58"/>
      <c r="M11" s="58"/>
      <c r="O11" s="57" t="s">
        <v>97</v>
      </c>
      <c r="P11" s="58"/>
      <c r="Q11" s="58"/>
    </row>
    <row r="12" spans="3:17" ht="16.2" thickBot="1" x14ac:dyDescent="0.35">
      <c r="C12" s="55">
        <v>1.0123734533183255E-2</v>
      </c>
      <c r="D12" s="55"/>
      <c r="E12" s="55"/>
      <c r="G12" s="55">
        <v>-1.3460459899046581E-2</v>
      </c>
      <c r="H12" s="55"/>
      <c r="I12" s="55"/>
      <c r="J12" s="44"/>
      <c r="K12" s="54">
        <v>4.6999999999999886</v>
      </c>
      <c r="L12" s="54"/>
      <c r="M12" s="54"/>
      <c r="O12" s="54" t="s">
        <v>12</v>
      </c>
      <c r="P12" s="54"/>
      <c r="Q12" s="54"/>
    </row>
    <row r="13" spans="3:17" ht="15" thickTop="1" x14ac:dyDescent="0.3"/>
    <row r="24" spans="28:28" x14ac:dyDescent="0.3">
      <c r="AB24" t="s">
        <v>123</v>
      </c>
    </row>
  </sheetData>
  <mergeCells count="13">
    <mergeCell ref="D4:O4"/>
    <mergeCell ref="O12:Q12"/>
    <mergeCell ref="G12:I12"/>
    <mergeCell ref="K6:M8"/>
    <mergeCell ref="O6:Q8"/>
    <mergeCell ref="C11:E11"/>
    <mergeCell ref="C12:E12"/>
    <mergeCell ref="G11:I11"/>
    <mergeCell ref="K11:M11"/>
    <mergeCell ref="K12:M12"/>
    <mergeCell ref="O11:Q11"/>
    <mergeCell ref="C6:E8"/>
    <mergeCell ref="G6:I8"/>
  </mergeCells>
  <pageMargins left="0.7" right="0.7" top="0.75" bottom="0.75" header="0.3" footer="0.3"/>
  <pageSetup paperSize="173" orientation="portrait" horizontalDpi="203" verticalDpi="203"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370B-EAFC-4613-9A27-9B1EF4A1AFBE}">
  <dimension ref="A2:W28"/>
  <sheetViews>
    <sheetView topLeftCell="A10" zoomScale="85" zoomScaleNormal="85" workbookViewId="0">
      <selection activeCell="G2" sqref="G2:H8"/>
    </sheetView>
  </sheetViews>
  <sheetFormatPr defaultRowHeight="14.4" x14ac:dyDescent="0.3"/>
  <cols>
    <col min="1" max="1" width="32.21875" bestFit="1" customWidth="1"/>
    <col min="2" max="2" width="8.33203125" bestFit="1" customWidth="1"/>
    <col min="3" max="3" width="22.44140625" bestFit="1" customWidth="1"/>
    <col min="7" max="7" width="21.88671875" bestFit="1" customWidth="1"/>
    <col min="8" max="8" width="8.21875" bestFit="1" customWidth="1"/>
    <col min="10" max="10" width="23.33203125" bestFit="1" customWidth="1"/>
    <col min="11" max="11" width="7" bestFit="1" customWidth="1"/>
  </cols>
  <sheetData>
    <row r="2" spans="1:11" x14ac:dyDescent="0.3">
      <c r="A2" s="11" t="s">
        <v>58</v>
      </c>
      <c r="B2" s="11" t="s">
        <v>65</v>
      </c>
      <c r="C2" s="21" t="s">
        <v>76</v>
      </c>
      <c r="G2" s="11" t="s">
        <v>64</v>
      </c>
      <c r="H2" s="11" t="s">
        <v>65</v>
      </c>
      <c r="J2" s="17" t="s">
        <v>75</v>
      </c>
    </row>
    <row r="3" spans="1:11" x14ac:dyDescent="0.3">
      <c r="G3" t="s">
        <v>59</v>
      </c>
      <c r="H3">
        <f>SUM(B16:B28)</f>
        <v>2027.0999999999997</v>
      </c>
      <c r="J3" s="17" t="s">
        <v>64</v>
      </c>
      <c r="K3" t="s">
        <v>73</v>
      </c>
    </row>
    <row r="4" spans="1:11" x14ac:dyDescent="0.3">
      <c r="A4" s="12" t="s">
        <v>20</v>
      </c>
      <c r="B4" s="13">
        <f>CPI!W4</f>
        <v>157.69999999999999</v>
      </c>
      <c r="C4" s="59" t="s">
        <v>61</v>
      </c>
      <c r="G4" t="s">
        <v>61</v>
      </c>
      <c r="H4" s="3">
        <f>SUM(B4:B6)</f>
        <v>460.2</v>
      </c>
      <c r="J4" t="s">
        <v>63</v>
      </c>
      <c r="K4" s="18">
        <v>8.1419672206514485E-2</v>
      </c>
    </row>
    <row r="5" spans="1:11" x14ac:dyDescent="0.3">
      <c r="A5" s="12" t="s">
        <v>67</v>
      </c>
      <c r="B5" s="12">
        <v>152.5</v>
      </c>
      <c r="C5" s="59"/>
      <c r="G5" t="s">
        <v>62</v>
      </c>
      <c r="H5">
        <f>B7</f>
        <v>159.30000000000001</v>
      </c>
      <c r="J5" t="s">
        <v>59</v>
      </c>
      <c r="K5" s="18">
        <v>0.5083787325012068</v>
      </c>
    </row>
    <row r="6" spans="1:11" x14ac:dyDescent="0.3">
      <c r="A6" s="12" t="s">
        <v>68</v>
      </c>
      <c r="B6" s="12">
        <f>CPI!Y4</f>
        <v>150</v>
      </c>
      <c r="C6" s="59"/>
      <c r="G6" t="s">
        <v>71</v>
      </c>
      <c r="H6">
        <f>B8:B8</f>
        <v>141.9</v>
      </c>
      <c r="J6" t="s">
        <v>62</v>
      </c>
      <c r="K6" s="18">
        <v>4.2686711261292323E-2</v>
      </c>
    </row>
    <row r="7" spans="1:11" x14ac:dyDescent="0.3">
      <c r="A7" s="12" t="s">
        <v>23</v>
      </c>
      <c r="B7" s="12">
        <f>CPI!Z4</f>
        <v>159.30000000000001</v>
      </c>
      <c r="C7" s="20" t="s">
        <v>62</v>
      </c>
      <c r="D7" s="19"/>
      <c r="E7" s="19"/>
      <c r="G7" t="s">
        <v>63</v>
      </c>
      <c r="H7">
        <f>SUM(B9:B10)</f>
        <v>336.29999999999995</v>
      </c>
      <c r="J7" t="s">
        <v>61</v>
      </c>
      <c r="K7" s="18">
        <v>0.1156931705859366</v>
      </c>
    </row>
    <row r="8" spans="1:11" x14ac:dyDescent="0.3">
      <c r="A8" s="12" t="s">
        <v>57</v>
      </c>
      <c r="B8" s="12">
        <f>CPI!AA4</f>
        <v>141.9</v>
      </c>
      <c r="C8" s="20" t="s">
        <v>71</v>
      </c>
      <c r="D8" s="19"/>
      <c r="E8" s="19"/>
      <c r="G8" t="s">
        <v>72</v>
      </c>
      <c r="H8">
        <f>SUM(B13,B14,B15,B11,B12)</f>
        <v>826.2</v>
      </c>
      <c r="J8" t="s">
        <v>72</v>
      </c>
      <c r="K8" s="18">
        <v>0.21393926855619153</v>
      </c>
    </row>
    <row r="9" spans="1:11" x14ac:dyDescent="0.3">
      <c r="A9" s="12" t="s">
        <v>69</v>
      </c>
      <c r="B9" s="12">
        <v>177.1</v>
      </c>
      <c r="C9" s="59" t="s">
        <v>63</v>
      </c>
      <c r="D9" s="19"/>
      <c r="E9" s="19"/>
      <c r="J9" t="s">
        <v>71</v>
      </c>
      <c r="K9" s="18">
        <v>3.7882444888858238E-2</v>
      </c>
    </row>
    <row r="10" spans="1:11" ht="15.6" x14ac:dyDescent="0.3">
      <c r="A10" s="12" t="s">
        <v>26</v>
      </c>
      <c r="B10" s="12">
        <f>CPI!AC4</f>
        <v>159.19999999999999</v>
      </c>
      <c r="C10" s="59"/>
      <c r="G10" s="16" t="s">
        <v>73</v>
      </c>
      <c r="H10" s="15">
        <f>SUM(H3:H8)</f>
        <v>3951</v>
      </c>
      <c r="J10" t="s">
        <v>74</v>
      </c>
      <c r="K10" s="14">
        <v>1</v>
      </c>
    </row>
    <row r="11" spans="1:11" x14ac:dyDescent="0.3">
      <c r="A11" s="12" t="s">
        <v>70</v>
      </c>
      <c r="B11" s="12">
        <f>CPI!AD4</f>
        <v>156.80000000000001</v>
      </c>
      <c r="C11" s="59" t="s">
        <v>72</v>
      </c>
    </row>
    <row r="12" spans="1:11" x14ac:dyDescent="0.3">
      <c r="A12" s="12" t="s">
        <v>28</v>
      </c>
      <c r="B12" s="12">
        <v>179</v>
      </c>
      <c r="C12" s="59"/>
    </row>
    <row r="13" spans="1:11" x14ac:dyDescent="0.3">
      <c r="A13" s="12" t="s">
        <v>66</v>
      </c>
      <c r="B13" s="12">
        <f>All_India_Index_Upto_April23__13[[#This Row],[Pan, tobacco and intoxicants]]</f>
        <v>188.8</v>
      </c>
      <c r="C13" s="59"/>
    </row>
    <row r="14" spans="1:11" x14ac:dyDescent="0.3">
      <c r="A14" s="12" t="s">
        <v>17</v>
      </c>
      <c r="B14" s="12">
        <f>CPI!T4</f>
        <v>155.5</v>
      </c>
      <c r="C14" s="59"/>
      <c r="J14" s="12"/>
    </row>
    <row r="15" spans="1:11" x14ac:dyDescent="0.3">
      <c r="A15" s="12" t="s">
        <v>18</v>
      </c>
      <c r="B15" s="12">
        <f>CPI!U4</f>
        <v>146.1</v>
      </c>
      <c r="C15" s="59"/>
    </row>
    <row r="16" spans="1:11" x14ac:dyDescent="0.3">
      <c r="A16" s="12" t="s">
        <v>60</v>
      </c>
      <c r="B16" s="12">
        <f>CPI!R4</f>
        <v>161</v>
      </c>
      <c r="C16" s="59" t="s">
        <v>59</v>
      </c>
    </row>
    <row r="17" spans="1:23" x14ac:dyDescent="0.3">
      <c r="A17" s="12" t="s">
        <v>3</v>
      </c>
      <c r="B17" s="12">
        <f>CPI!F4</f>
        <v>144.9</v>
      </c>
      <c r="C17" s="59"/>
    </row>
    <row r="18" spans="1:23" x14ac:dyDescent="0.3">
      <c r="A18" t="s">
        <v>4</v>
      </c>
      <c r="B18">
        <f>CPI!G4</f>
        <v>190.1</v>
      </c>
      <c r="C18" s="59"/>
    </row>
    <row r="19" spans="1:23" x14ac:dyDescent="0.3">
      <c r="A19" t="s">
        <v>5</v>
      </c>
      <c r="B19">
        <f>CPI!H4</f>
        <v>175.3</v>
      </c>
      <c r="C19" s="59"/>
    </row>
    <row r="20" spans="1:23" x14ac:dyDescent="0.3">
      <c r="A20" t="s">
        <v>6</v>
      </c>
      <c r="B20">
        <f>CPI!I4</f>
        <v>154.1</v>
      </c>
      <c r="C20" s="59"/>
    </row>
    <row r="21" spans="1:23" x14ac:dyDescent="0.3">
      <c r="A21" t="s">
        <v>7</v>
      </c>
      <c r="B21" s="12">
        <f>CPI!J4</f>
        <v>150.9</v>
      </c>
      <c r="C21" s="59"/>
    </row>
    <row r="22" spans="1:23" x14ac:dyDescent="0.3">
      <c r="A22" t="s">
        <v>8</v>
      </c>
      <c r="B22" s="12">
        <f>CPI!K4</f>
        <v>149.6</v>
      </c>
      <c r="C22" s="59"/>
    </row>
    <row r="23" spans="1:23" x14ac:dyDescent="0.3">
      <c r="A23" t="s">
        <v>9</v>
      </c>
      <c r="B23" s="12">
        <f>CPI!L4</f>
        <v>194.2</v>
      </c>
      <c r="C23" s="59"/>
      <c r="J23" s="51" t="s">
        <v>83</v>
      </c>
      <c r="K23" s="51"/>
      <c r="L23" s="60" t="s">
        <v>92</v>
      </c>
      <c r="M23" s="60"/>
      <c r="N23" s="60"/>
      <c r="O23" s="60"/>
      <c r="P23" s="60"/>
      <c r="Q23" s="60"/>
      <c r="R23" s="60"/>
      <c r="S23" s="60"/>
      <c r="T23" s="60"/>
      <c r="U23" s="60"/>
      <c r="V23" s="60"/>
      <c r="W23" s="60"/>
    </row>
    <row r="24" spans="1:23" x14ac:dyDescent="0.3">
      <c r="A24" t="s">
        <v>10</v>
      </c>
      <c r="B24" s="12">
        <f>CPI!M4</f>
        <v>160.4</v>
      </c>
      <c r="C24" s="59"/>
      <c r="J24" s="51"/>
      <c r="K24" s="51"/>
      <c r="L24" s="60"/>
      <c r="M24" s="60"/>
      <c r="N24" s="60"/>
      <c r="O24" s="60"/>
      <c r="P24" s="60"/>
      <c r="Q24" s="60"/>
      <c r="R24" s="60"/>
      <c r="S24" s="60"/>
      <c r="T24" s="60"/>
      <c r="U24" s="60"/>
      <c r="V24" s="60"/>
      <c r="W24" s="60"/>
    </row>
    <row r="25" spans="1:23" x14ac:dyDescent="0.3">
      <c r="A25" t="s">
        <v>11</v>
      </c>
      <c r="B25" s="12">
        <f>CPI!N4</f>
        <v>114.6</v>
      </c>
      <c r="C25" s="59"/>
    </row>
    <row r="26" spans="1:23" x14ac:dyDescent="0.3">
      <c r="A26" t="s">
        <v>12</v>
      </c>
      <c r="B26" s="12">
        <f>CPI!N4</f>
        <v>114.6</v>
      </c>
      <c r="C26" s="59"/>
    </row>
    <row r="27" spans="1:23" x14ac:dyDescent="0.3">
      <c r="A27" t="s">
        <v>13</v>
      </c>
      <c r="B27">
        <f>CPI!P4</f>
        <v>151.80000000000001</v>
      </c>
      <c r="C27" s="59"/>
    </row>
    <row r="28" spans="1:23" x14ac:dyDescent="0.3">
      <c r="A28" t="s">
        <v>14</v>
      </c>
      <c r="B28">
        <f>CPI!Q4</f>
        <v>165.6</v>
      </c>
      <c r="C28" s="59"/>
    </row>
  </sheetData>
  <mergeCells count="6">
    <mergeCell ref="C4:C6"/>
    <mergeCell ref="J23:K24"/>
    <mergeCell ref="L23:W24"/>
    <mergeCell ref="C9:C10"/>
    <mergeCell ref="C11:C15"/>
    <mergeCell ref="C16:C28"/>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8E98D-5FFA-48C8-99B8-EF4D51D57CAB}">
  <dimension ref="A1:T25"/>
  <sheetViews>
    <sheetView topLeftCell="C1" zoomScale="85" zoomScaleNormal="85" workbookViewId="0">
      <selection activeCell="Q31" sqref="Q31"/>
    </sheetView>
  </sheetViews>
  <sheetFormatPr defaultRowHeight="14.4" x14ac:dyDescent="0.3"/>
  <cols>
    <col min="1" max="2" width="22.33203125" bestFit="1" customWidth="1"/>
    <col min="3" max="3" width="12" bestFit="1" customWidth="1"/>
    <col min="5" max="5" width="10.21875" bestFit="1" customWidth="1"/>
    <col min="7" max="7" width="11" bestFit="1" customWidth="1"/>
    <col min="8" max="8" width="15.88671875" bestFit="1" customWidth="1"/>
    <col min="11" max="11" width="14.44140625" bestFit="1" customWidth="1"/>
    <col min="12" max="13" width="7.6640625" bestFit="1" customWidth="1"/>
    <col min="14" max="22" width="12.44140625" bestFit="1" customWidth="1"/>
    <col min="23" max="23" width="11.44140625" bestFit="1" customWidth="1"/>
    <col min="24" max="24" width="11.33203125" bestFit="1" customWidth="1"/>
    <col min="25" max="25" width="10.21875" bestFit="1" customWidth="1"/>
    <col min="26" max="26" width="12.44140625" bestFit="1" customWidth="1"/>
    <col min="27" max="27" width="10.21875" bestFit="1" customWidth="1"/>
    <col min="28" max="28" width="11.33203125" bestFit="1" customWidth="1"/>
    <col min="29" max="29" width="10.21875" bestFit="1" customWidth="1"/>
    <col min="30" max="30" width="12.44140625" bestFit="1" customWidth="1"/>
    <col min="31" max="31" width="10.21875" bestFit="1" customWidth="1"/>
    <col min="32" max="32" width="12.44140625" bestFit="1" customWidth="1"/>
    <col min="33" max="33" width="10.21875" bestFit="1" customWidth="1"/>
    <col min="34" max="34" width="11.44140625" bestFit="1" customWidth="1"/>
  </cols>
  <sheetData>
    <row r="1" spans="1:8" x14ac:dyDescent="0.3">
      <c r="A1" s="17" t="s">
        <v>77</v>
      </c>
    </row>
    <row r="2" spans="1:8" x14ac:dyDescent="0.3">
      <c r="A2" s="17" t="s">
        <v>1</v>
      </c>
      <c r="B2" t="s">
        <v>73</v>
      </c>
      <c r="D2" s="11" t="s">
        <v>1</v>
      </c>
      <c r="E2" s="11" t="s">
        <v>78</v>
      </c>
      <c r="F2" s="11" t="s">
        <v>79</v>
      </c>
      <c r="G2" s="11" t="s">
        <v>80</v>
      </c>
      <c r="H2" s="11" t="s">
        <v>81</v>
      </c>
    </row>
    <row r="3" spans="1:8" x14ac:dyDescent="0.3">
      <c r="A3">
        <v>2013</v>
      </c>
      <c r="B3" s="3">
        <v>110.01388888888893</v>
      </c>
      <c r="C3" s="22"/>
      <c r="D3" s="23">
        <v>2013</v>
      </c>
      <c r="E3" s="3">
        <v>110.01388888888893</v>
      </c>
      <c r="F3" s="48">
        <v>0</v>
      </c>
      <c r="G3" s="18">
        <f>MAX(F3:F13)</f>
        <v>6.7041260397730687E-2</v>
      </c>
      <c r="H3" s="5">
        <f>INDEX(D3:F13,MATCH(MAX(F3:F13),F3:F13,0),1)</f>
        <v>2021</v>
      </c>
    </row>
    <row r="4" spans="1:8" x14ac:dyDescent="0.3">
      <c r="A4">
        <v>2014</v>
      </c>
      <c r="B4" s="3">
        <v>117.32777777777778</v>
      </c>
      <c r="C4" s="3"/>
      <c r="D4">
        <v>2014</v>
      </c>
      <c r="E4" s="3">
        <v>117.32777777777778</v>
      </c>
      <c r="F4" s="24">
        <f>(E4-E3)/E3</f>
        <v>6.6481504860497073E-2</v>
      </c>
    </row>
    <row r="5" spans="1:8" x14ac:dyDescent="0.3">
      <c r="A5">
        <v>2015</v>
      </c>
      <c r="B5" s="3">
        <v>123.0361111111111</v>
      </c>
      <c r="C5" s="3"/>
      <c r="D5">
        <v>2015</v>
      </c>
      <c r="E5" s="3">
        <v>123.0361111111111</v>
      </c>
      <c r="F5" s="24">
        <f t="shared" ref="F5:F13" si="0">(E5-E4)/E4</f>
        <v>4.8652871821582296E-2</v>
      </c>
    </row>
    <row r="6" spans="1:8" x14ac:dyDescent="0.3">
      <c r="A6">
        <v>2016</v>
      </c>
      <c r="B6" s="3">
        <v>129.10000000000002</v>
      </c>
      <c r="C6" s="3"/>
      <c r="D6">
        <v>2016</v>
      </c>
      <c r="E6" s="3">
        <v>129.10000000000002</v>
      </c>
      <c r="F6" s="24">
        <f t="shared" si="0"/>
        <v>4.9285440137268044E-2</v>
      </c>
    </row>
    <row r="7" spans="1:8" x14ac:dyDescent="0.3">
      <c r="A7">
        <v>2017</v>
      </c>
      <c r="B7" s="3">
        <v>133.38611111111112</v>
      </c>
      <c r="C7" s="3"/>
      <c r="D7">
        <v>2017</v>
      </c>
      <c r="E7" s="3">
        <v>133.38611111111112</v>
      </c>
      <c r="F7" s="24">
        <f t="shared" si="0"/>
        <v>3.3199931147258686E-2</v>
      </c>
    </row>
    <row r="8" spans="1:8" x14ac:dyDescent="0.3">
      <c r="A8">
        <v>2018</v>
      </c>
      <c r="B8" s="3">
        <v>138.66944444444439</v>
      </c>
      <c r="C8" s="3"/>
      <c r="D8">
        <v>2018</v>
      </c>
      <c r="E8" s="3">
        <v>138.66944444444439</v>
      </c>
      <c r="F8" s="24">
        <f t="shared" si="0"/>
        <v>3.9609321310314222E-2</v>
      </c>
    </row>
    <row r="9" spans="1:8" x14ac:dyDescent="0.3">
      <c r="A9">
        <v>2019</v>
      </c>
      <c r="B9" s="3">
        <v>144.12727272727273</v>
      </c>
      <c r="C9" s="3"/>
      <c r="D9">
        <v>2019</v>
      </c>
      <c r="E9" s="3">
        <v>144.12727272727273</v>
      </c>
      <c r="F9" s="24">
        <f t="shared" si="0"/>
        <v>3.9358550145594036E-2</v>
      </c>
    </row>
    <row r="10" spans="1:8" x14ac:dyDescent="0.3">
      <c r="A10">
        <v>2020</v>
      </c>
      <c r="B10" s="3">
        <v>151.27499999999998</v>
      </c>
      <c r="C10" s="3"/>
      <c r="D10">
        <v>2020</v>
      </c>
      <c r="E10" s="3">
        <v>151.27499999999998</v>
      </c>
      <c r="F10" s="24">
        <f t="shared" si="0"/>
        <v>4.9593162608805204E-2</v>
      </c>
    </row>
    <row r="11" spans="1:8" x14ac:dyDescent="0.3">
      <c r="A11">
        <v>2021</v>
      </c>
      <c r="B11" s="3">
        <v>161.41666666666669</v>
      </c>
      <c r="C11" s="3"/>
      <c r="D11">
        <v>2021</v>
      </c>
      <c r="E11" s="3">
        <v>161.41666666666669</v>
      </c>
      <c r="F11" s="24">
        <f t="shared" si="0"/>
        <v>6.7041260397730687E-2</v>
      </c>
    </row>
    <row r="12" spans="1:8" x14ac:dyDescent="0.3">
      <c r="A12">
        <v>2022</v>
      </c>
      <c r="B12" s="3">
        <v>172.07500000000005</v>
      </c>
      <c r="C12" s="3"/>
      <c r="D12">
        <v>2022</v>
      </c>
      <c r="E12" s="3">
        <v>172.07500000000005</v>
      </c>
      <c r="F12" s="24">
        <f t="shared" si="0"/>
        <v>6.6029943211151423E-2</v>
      </c>
    </row>
    <row r="13" spans="1:8" x14ac:dyDescent="0.3">
      <c r="A13">
        <v>2023</v>
      </c>
      <c r="B13" s="3">
        <v>177.57333333333332</v>
      </c>
      <c r="C13" s="3"/>
      <c r="D13">
        <v>2023</v>
      </c>
      <c r="E13" s="3">
        <v>177.57333333333332</v>
      </c>
      <c r="F13" s="24">
        <f t="shared" si="0"/>
        <v>3.1953121216523474E-2</v>
      </c>
    </row>
    <row r="14" spans="1:8" x14ac:dyDescent="0.3">
      <c r="A14" t="s">
        <v>74</v>
      </c>
      <c r="B14" s="3">
        <v>139.58763440860216</v>
      </c>
    </row>
    <row r="18" spans="7:20" x14ac:dyDescent="0.3">
      <c r="G18" s="51" t="s">
        <v>83</v>
      </c>
      <c r="H18" s="51"/>
      <c r="I18" s="60" t="s">
        <v>82</v>
      </c>
      <c r="J18" s="60"/>
      <c r="K18" s="60"/>
      <c r="L18" s="60"/>
      <c r="M18" s="60"/>
      <c r="N18" s="60"/>
      <c r="O18" s="60"/>
      <c r="P18" s="60"/>
      <c r="Q18" s="60"/>
      <c r="R18" s="60"/>
      <c r="S18" s="60"/>
      <c r="T18" s="60"/>
    </row>
    <row r="19" spans="7:20" x14ac:dyDescent="0.3">
      <c r="G19" s="51"/>
      <c r="H19" s="51"/>
      <c r="I19" s="60"/>
      <c r="J19" s="60"/>
      <c r="K19" s="60"/>
      <c r="L19" s="60"/>
      <c r="M19" s="60"/>
      <c r="N19" s="60"/>
      <c r="O19" s="60"/>
      <c r="P19" s="60"/>
      <c r="Q19" s="60"/>
      <c r="R19" s="60"/>
      <c r="S19" s="60"/>
      <c r="T19" s="60"/>
    </row>
    <row r="21" spans="7:20" x14ac:dyDescent="0.3">
      <c r="G21" s="51" t="s">
        <v>84</v>
      </c>
      <c r="H21" s="51"/>
      <c r="I21" s="60" t="s">
        <v>85</v>
      </c>
      <c r="J21" s="60"/>
      <c r="K21" s="60"/>
      <c r="L21" s="60"/>
      <c r="M21" s="60"/>
      <c r="N21" s="60"/>
      <c r="O21" s="60"/>
      <c r="P21" s="60"/>
      <c r="Q21" s="60"/>
      <c r="R21" s="60"/>
      <c r="S21" s="60"/>
      <c r="T21" s="60"/>
    </row>
    <row r="22" spans="7:20" x14ac:dyDescent="0.3">
      <c r="G22" s="51"/>
      <c r="H22" s="51"/>
      <c r="I22" s="60"/>
      <c r="J22" s="60"/>
      <c r="K22" s="60"/>
      <c r="L22" s="60"/>
      <c r="M22" s="60"/>
      <c r="N22" s="60"/>
      <c r="O22" s="60"/>
      <c r="P22" s="60"/>
      <c r="Q22" s="60"/>
      <c r="R22" s="60"/>
      <c r="S22" s="60"/>
      <c r="T22" s="60"/>
    </row>
    <row r="24" spans="7:20" x14ac:dyDescent="0.3">
      <c r="G24" s="51" t="s">
        <v>86</v>
      </c>
      <c r="H24" s="51"/>
      <c r="I24" s="60" t="s">
        <v>87</v>
      </c>
      <c r="J24" s="60"/>
      <c r="K24" s="60"/>
      <c r="L24" s="60"/>
      <c r="M24" s="60"/>
      <c r="N24" s="60"/>
      <c r="O24" s="60"/>
      <c r="P24" s="60"/>
      <c r="Q24" s="60"/>
      <c r="R24" s="60"/>
      <c r="S24" s="60"/>
      <c r="T24" s="60"/>
    </row>
    <row r="25" spans="7:20" x14ac:dyDescent="0.3">
      <c r="G25" s="51"/>
      <c r="H25" s="51"/>
      <c r="I25" s="60"/>
      <c r="J25" s="60"/>
      <c r="K25" s="60"/>
      <c r="L25" s="60"/>
      <c r="M25" s="60"/>
      <c r="N25" s="60"/>
      <c r="O25" s="60"/>
      <c r="P25" s="60"/>
      <c r="Q25" s="60"/>
      <c r="R25" s="60"/>
      <c r="S25" s="60"/>
      <c r="T25" s="60"/>
    </row>
  </sheetData>
  <autoFilter ref="D2:F13" xr:uid="{9C98E98D-5FFA-48C8-99B8-EF4D51D57CAB}"/>
  <mergeCells count="6">
    <mergeCell ref="G24:H25"/>
    <mergeCell ref="I24:T25"/>
    <mergeCell ref="G18:H19"/>
    <mergeCell ref="I18:T19"/>
    <mergeCell ref="G21:H22"/>
    <mergeCell ref="I21:T2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6D72-DA0D-49CA-8A29-FF48B1D3C8B9}">
  <dimension ref="C1:AD46"/>
  <sheetViews>
    <sheetView topLeftCell="E1" zoomScale="55" zoomScaleNormal="55" workbookViewId="0">
      <selection activeCell="L48" sqref="L48"/>
    </sheetView>
  </sheetViews>
  <sheetFormatPr defaultRowHeight="14.4" x14ac:dyDescent="0.3"/>
  <cols>
    <col min="3" max="4" width="12.6640625" bestFit="1" customWidth="1"/>
    <col min="5" max="5" width="18.5546875" bestFit="1" customWidth="1"/>
    <col min="6" max="6" width="12.6640625" bestFit="1" customWidth="1"/>
    <col min="7" max="7" width="16.77734375" bestFit="1" customWidth="1"/>
    <col min="8" max="8" width="27" bestFit="1" customWidth="1"/>
    <col min="9" max="9" width="22.21875" bestFit="1" customWidth="1"/>
    <col min="10" max="10" width="29.77734375" bestFit="1" customWidth="1"/>
    <col min="11" max="11" width="19.33203125" bestFit="1" customWidth="1"/>
    <col min="12" max="12" width="26.33203125" bestFit="1" customWidth="1"/>
    <col min="13" max="13" width="16.88671875" bestFit="1" customWidth="1"/>
    <col min="14" max="14" width="32.6640625" bestFit="1" customWidth="1"/>
    <col min="15" max="15" width="12.6640625" bestFit="1" customWidth="1"/>
    <col min="16" max="16" width="10.77734375" bestFit="1" customWidth="1"/>
    <col min="17" max="18" width="13.88671875" bestFit="1" customWidth="1"/>
    <col min="19" max="19" width="19.77734375" bestFit="1" customWidth="1"/>
    <col min="20" max="20" width="14.77734375" bestFit="1" customWidth="1"/>
    <col min="21" max="21" width="26.77734375" bestFit="1" customWidth="1"/>
    <col min="22" max="22" width="14.77734375" bestFit="1" customWidth="1"/>
    <col min="23" max="23" width="26.77734375" bestFit="1" customWidth="1"/>
    <col min="24" max="24" width="14.77734375" bestFit="1" customWidth="1"/>
    <col min="25" max="25" width="26.77734375" bestFit="1" customWidth="1"/>
    <col min="26" max="26" width="14.77734375" bestFit="1" customWidth="1"/>
    <col min="27" max="27" width="25.6640625" bestFit="1" customWidth="1"/>
    <col min="28" max="28" width="5.5546875" bestFit="1" customWidth="1"/>
    <col min="29" max="29" width="8.5546875" bestFit="1" customWidth="1"/>
    <col min="30" max="30" width="11.109375" bestFit="1" customWidth="1"/>
    <col min="31" max="31" width="20.21875" bestFit="1" customWidth="1"/>
    <col min="32" max="32" width="21.33203125" bestFit="1" customWidth="1"/>
    <col min="33" max="33" width="10.21875" customWidth="1"/>
  </cols>
  <sheetData>
    <row r="1" spans="3:30" x14ac:dyDescent="0.3">
      <c r="D1" s="11" t="s">
        <v>45</v>
      </c>
      <c r="E1" s="11" t="s">
        <v>15</v>
      </c>
      <c r="F1" s="11" t="s">
        <v>88</v>
      </c>
      <c r="N1" s="26" t="s">
        <v>58</v>
      </c>
      <c r="O1" s="27">
        <v>44713</v>
      </c>
      <c r="P1" s="27">
        <v>45047</v>
      </c>
      <c r="Q1" s="27" t="s">
        <v>93</v>
      </c>
      <c r="S1" s="28" t="s">
        <v>96</v>
      </c>
      <c r="T1" s="28" t="s">
        <v>97</v>
      </c>
      <c r="V1" s="24"/>
    </row>
    <row r="2" spans="3:30" x14ac:dyDescent="0.3">
      <c r="D2" s="25">
        <v>44713</v>
      </c>
      <c r="E2" s="3">
        <v>174.9</v>
      </c>
      <c r="F2">
        <v>0</v>
      </c>
      <c r="H2" s="30" t="s">
        <v>94</v>
      </c>
      <c r="I2" s="30" t="s">
        <v>89</v>
      </c>
      <c r="N2" s="24" t="s">
        <v>12</v>
      </c>
      <c r="O2" s="22">
        <v>187.1</v>
      </c>
      <c r="P2" s="22">
        <v>218</v>
      </c>
      <c r="Q2" s="22">
        <v>30.900000000000006</v>
      </c>
      <c r="S2">
        <v>30.9</v>
      </c>
      <c r="T2" s="29" t="s">
        <v>12</v>
      </c>
      <c r="U2" t="s">
        <v>98</v>
      </c>
    </row>
    <row r="3" spans="3:30" x14ac:dyDescent="0.3">
      <c r="C3" s="24"/>
      <c r="D3" s="25">
        <v>44743</v>
      </c>
      <c r="E3" s="3">
        <v>175</v>
      </c>
      <c r="F3" s="24">
        <f>(E3-E2)/E2</f>
        <v>5.7175528873638828E-4</v>
      </c>
      <c r="G3" s="24"/>
      <c r="H3" s="31">
        <f>MAX(F2:F13)</f>
        <v>1.0123734533183255E-2</v>
      </c>
      <c r="I3" s="32">
        <f>INDEX(D2:F13,MATCH(MAX(E2:E13),E2:E13,0),1)</f>
        <v>44835</v>
      </c>
      <c r="J3" s="24"/>
      <c r="K3" s="24"/>
      <c r="L3" s="24"/>
      <c r="M3" s="24"/>
      <c r="N3" s="24" t="s">
        <v>3</v>
      </c>
      <c r="O3" s="3">
        <v>155</v>
      </c>
      <c r="P3" s="3">
        <v>173.7</v>
      </c>
      <c r="Q3" s="22">
        <v>18.699999999999989</v>
      </c>
      <c r="R3" s="24"/>
      <c r="S3" s="24"/>
      <c r="T3" s="24"/>
      <c r="U3" s="24"/>
      <c r="V3" s="24"/>
      <c r="W3" s="24"/>
      <c r="X3" s="24"/>
      <c r="Y3" s="24"/>
      <c r="Z3" s="24"/>
      <c r="AA3" s="24"/>
      <c r="AB3" s="24"/>
      <c r="AC3" s="24"/>
      <c r="AD3" s="24"/>
    </row>
    <row r="4" spans="3:30" x14ac:dyDescent="0.3">
      <c r="C4" s="24"/>
      <c r="D4" s="25">
        <v>44774</v>
      </c>
      <c r="E4" s="3">
        <v>176.3</v>
      </c>
      <c r="F4" s="24">
        <f t="shared" ref="F4:F13" si="0">(E4-E3)/E3</f>
        <v>7.4285714285714935E-3</v>
      </c>
      <c r="G4" s="24"/>
      <c r="J4" s="24"/>
      <c r="K4" s="24"/>
      <c r="L4" s="24"/>
      <c r="M4" s="24"/>
      <c r="N4" s="24" t="s">
        <v>6</v>
      </c>
      <c r="O4" s="22">
        <v>165.8</v>
      </c>
      <c r="P4" s="22">
        <v>179.5</v>
      </c>
      <c r="Q4" s="22">
        <v>13.699999999999989</v>
      </c>
      <c r="R4" s="24"/>
      <c r="S4" s="24"/>
      <c r="T4" s="24"/>
      <c r="U4" s="24"/>
      <c r="V4" s="24"/>
      <c r="W4" s="24"/>
      <c r="X4" s="24"/>
      <c r="Y4" s="24"/>
      <c r="Z4" s="24"/>
      <c r="AA4" s="24"/>
      <c r="AB4" s="24"/>
      <c r="AC4" s="24"/>
      <c r="AD4" s="24"/>
    </row>
    <row r="5" spans="3:30" x14ac:dyDescent="0.3">
      <c r="C5" s="24"/>
      <c r="D5" s="25">
        <v>44805</v>
      </c>
      <c r="E5" s="3">
        <v>177.8</v>
      </c>
      <c r="F5" s="24">
        <f t="shared" si="0"/>
        <v>8.5082246171298923E-3</v>
      </c>
      <c r="G5" s="24"/>
      <c r="H5" s="30" t="s">
        <v>91</v>
      </c>
      <c r="I5" s="30" t="s">
        <v>90</v>
      </c>
      <c r="J5" s="24"/>
      <c r="K5" s="24"/>
      <c r="L5" s="24"/>
      <c r="M5" s="24"/>
      <c r="N5" s="24" t="s">
        <v>10</v>
      </c>
      <c r="O5" s="22">
        <v>164.3</v>
      </c>
      <c r="P5" s="22">
        <v>175.6</v>
      </c>
      <c r="Q5" s="22">
        <v>11.299999999999983</v>
      </c>
      <c r="R5" s="24"/>
      <c r="S5" s="24"/>
      <c r="T5" s="24"/>
      <c r="U5" s="24"/>
      <c r="V5" s="24"/>
      <c r="W5" s="24"/>
      <c r="X5" s="24"/>
      <c r="Y5" s="24"/>
      <c r="Z5" s="24"/>
      <c r="AA5" s="24"/>
      <c r="AB5" s="24"/>
      <c r="AC5" s="24"/>
      <c r="AD5" s="24"/>
    </row>
    <row r="6" spans="3:30" x14ac:dyDescent="0.3">
      <c r="C6" s="24"/>
      <c r="D6" s="25">
        <v>44835</v>
      </c>
      <c r="E6" s="3">
        <v>179.6</v>
      </c>
      <c r="F6" s="24">
        <f t="shared" si="0"/>
        <v>1.0123734533183255E-2</v>
      </c>
      <c r="G6" s="24"/>
      <c r="H6" s="31">
        <f>MIN(F2:F13)</f>
        <v>-1.3460459899046581E-2</v>
      </c>
      <c r="I6" s="32">
        <f>INDEX(D5:F16,MATCH(MIN(E5:E16),E5:E16,0),1)</f>
        <v>44896</v>
      </c>
      <c r="J6" s="24"/>
      <c r="K6" s="24"/>
      <c r="L6" s="24"/>
      <c r="M6" s="24"/>
      <c r="N6" s="24" t="s">
        <v>14</v>
      </c>
      <c r="O6" s="22">
        <v>183.9</v>
      </c>
      <c r="P6" s="22">
        <v>194.2</v>
      </c>
      <c r="Q6" s="22">
        <v>10.299999999999983</v>
      </c>
      <c r="R6" s="24"/>
      <c r="S6" s="24"/>
      <c r="T6" s="24"/>
      <c r="U6" s="24"/>
      <c r="V6" s="24"/>
      <c r="W6" s="24"/>
      <c r="X6" s="24"/>
      <c r="Y6" s="24"/>
      <c r="Z6" s="24"/>
      <c r="AA6" s="24"/>
      <c r="AB6" s="24"/>
      <c r="AC6" s="24"/>
      <c r="AD6" s="24"/>
    </row>
    <row r="7" spans="3:30" x14ac:dyDescent="0.3">
      <c r="C7" s="24"/>
      <c r="D7" s="25">
        <v>44866</v>
      </c>
      <c r="E7" s="3">
        <v>178.3</v>
      </c>
      <c r="F7" s="24">
        <f t="shared" si="0"/>
        <v>-7.2383073496658295E-3</v>
      </c>
      <c r="G7" s="24"/>
      <c r="J7" s="24"/>
      <c r="K7" s="24"/>
      <c r="L7" s="24"/>
      <c r="M7" s="24"/>
      <c r="N7" s="24" t="s">
        <v>13</v>
      </c>
      <c r="O7" s="22">
        <v>167.9</v>
      </c>
      <c r="P7" s="22">
        <v>173.4</v>
      </c>
      <c r="Q7" s="22">
        <v>5.5</v>
      </c>
      <c r="R7" s="24"/>
      <c r="S7" s="24"/>
      <c r="T7" s="24"/>
      <c r="U7" s="24"/>
      <c r="V7" s="24"/>
      <c r="W7" s="24"/>
      <c r="X7" s="24"/>
      <c r="Y7" s="24"/>
      <c r="Z7" s="24"/>
      <c r="AA7" s="24"/>
      <c r="AB7" s="24"/>
      <c r="AC7" s="24"/>
      <c r="AD7" s="24"/>
    </row>
    <row r="8" spans="3:30" x14ac:dyDescent="0.3">
      <c r="C8" s="24"/>
      <c r="D8" s="25">
        <v>44896</v>
      </c>
      <c r="E8" s="3">
        <v>175.9</v>
      </c>
      <c r="F8" s="24">
        <f t="shared" si="0"/>
        <v>-1.3460459899046581E-2</v>
      </c>
      <c r="G8" s="24"/>
      <c r="H8" s="30" t="s">
        <v>95</v>
      </c>
      <c r="J8" s="24"/>
      <c r="K8" s="24"/>
      <c r="L8" s="24"/>
      <c r="M8" s="24"/>
      <c r="N8" s="24" t="s">
        <v>7</v>
      </c>
      <c r="O8" s="22">
        <v>165.8</v>
      </c>
      <c r="P8" s="22">
        <v>170</v>
      </c>
      <c r="Q8" s="22">
        <v>4.1999999999999886</v>
      </c>
      <c r="R8" s="24"/>
      <c r="S8" s="24"/>
      <c r="T8" s="24"/>
      <c r="U8" s="24"/>
      <c r="V8" s="24"/>
      <c r="W8" s="24"/>
      <c r="X8" s="24"/>
      <c r="Y8" s="24"/>
      <c r="Z8" s="24"/>
      <c r="AA8" s="24"/>
      <c r="AB8" s="24"/>
      <c r="AC8" s="24"/>
      <c r="AD8" s="24"/>
    </row>
    <row r="9" spans="3:30" x14ac:dyDescent="0.3">
      <c r="C9" s="24"/>
      <c r="D9" s="25">
        <v>44927</v>
      </c>
      <c r="E9" s="3">
        <v>176.7</v>
      </c>
      <c r="F9" s="24">
        <f t="shared" si="0"/>
        <v>4.5480386583284984E-3</v>
      </c>
      <c r="G9" s="24"/>
      <c r="H9" s="33">
        <f>MAX(E2:E13)-MIN(E2:E13)</f>
        <v>4.6999999999999886</v>
      </c>
      <c r="J9" s="24"/>
      <c r="K9" s="24"/>
      <c r="L9" s="24"/>
      <c r="M9" s="24"/>
      <c r="N9" s="24" t="s">
        <v>15</v>
      </c>
      <c r="O9" s="3">
        <v>174.9</v>
      </c>
      <c r="P9" s="3">
        <v>179.1</v>
      </c>
      <c r="Q9" s="22">
        <v>4.1999999999999886</v>
      </c>
      <c r="R9" s="24"/>
      <c r="S9" s="24"/>
      <c r="T9" s="24"/>
      <c r="U9" s="24"/>
      <c r="V9" s="24"/>
      <c r="W9" s="24"/>
      <c r="X9" s="24"/>
      <c r="Y9" s="24"/>
      <c r="Z9" s="24"/>
      <c r="AA9" s="24"/>
      <c r="AB9" s="24"/>
      <c r="AC9" s="24"/>
      <c r="AD9" s="24"/>
    </row>
    <row r="10" spans="3:30" x14ac:dyDescent="0.3">
      <c r="C10" s="24"/>
      <c r="D10" s="25">
        <v>44958</v>
      </c>
      <c r="E10" s="3">
        <v>177</v>
      </c>
      <c r="F10" s="24">
        <f t="shared" si="0"/>
        <v>1.6977928692700134E-3</v>
      </c>
      <c r="G10" s="24"/>
      <c r="H10" s="24"/>
      <c r="I10" s="24"/>
      <c r="J10" s="24"/>
      <c r="K10" s="24"/>
      <c r="L10" s="24"/>
      <c r="M10" s="24"/>
      <c r="N10" s="24" t="s">
        <v>11</v>
      </c>
      <c r="O10" s="22">
        <v>119.9</v>
      </c>
      <c r="P10" s="22">
        <v>122.7</v>
      </c>
      <c r="Q10" s="22">
        <v>2.7999999999999972</v>
      </c>
      <c r="R10" s="24"/>
      <c r="S10" s="24"/>
      <c r="T10" s="24"/>
      <c r="U10" s="24"/>
      <c r="V10" s="24"/>
      <c r="W10" s="24"/>
      <c r="X10" s="24"/>
      <c r="Y10" s="24"/>
      <c r="Z10" s="24"/>
      <c r="AA10" s="24"/>
      <c r="AB10" s="24"/>
      <c r="AC10" s="24"/>
      <c r="AD10" s="24"/>
    </row>
    <row r="11" spans="3:30" x14ac:dyDescent="0.3">
      <c r="C11" s="24"/>
      <c r="D11" s="25">
        <v>44986</v>
      </c>
      <c r="E11" s="3">
        <v>177</v>
      </c>
      <c r="F11" s="24">
        <f t="shared" si="0"/>
        <v>0</v>
      </c>
      <c r="G11" s="24"/>
      <c r="H11" s="24"/>
      <c r="I11" s="24"/>
      <c r="J11" s="24"/>
      <c r="K11" s="24"/>
      <c r="L11" s="24"/>
      <c r="M11" s="24"/>
      <c r="N11" s="24" t="s">
        <v>8</v>
      </c>
      <c r="O11" s="22">
        <v>169.7</v>
      </c>
      <c r="P11" s="22">
        <v>172.2</v>
      </c>
      <c r="Q11" s="22">
        <v>2.5</v>
      </c>
      <c r="R11" s="24"/>
      <c r="S11" s="24"/>
      <c r="T11" s="24"/>
      <c r="U11" s="24"/>
      <c r="V11" s="24"/>
      <c r="W11" s="24"/>
      <c r="X11" s="24"/>
      <c r="Y11" s="24"/>
      <c r="Z11" s="24"/>
      <c r="AA11" s="24"/>
      <c r="AB11" s="24"/>
      <c r="AC11" s="24"/>
      <c r="AD11" s="24"/>
    </row>
    <row r="12" spans="3:30" x14ac:dyDescent="0.3">
      <c r="C12" s="24"/>
      <c r="D12" s="25">
        <v>45017</v>
      </c>
      <c r="E12" s="3">
        <v>177.9</v>
      </c>
      <c r="F12" s="24">
        <f t="shared" si="0"/>
        <v>5.0847457627118961E-3</v>
      </c>
      <c r="G12" s="24"/>
      <c r="H12" s="24"/>
      <c r="I12" s="24"/>
      <c r="J12" s="24"/>
      <c r="K12" s="24"/>
      <c r="L12" s="24"/>
      <c r="M12" s="24"/>
      <c r="N12" s="24" t="s">
        <v>5</v>
      </c>
      <c r="O12" s="22">
        <v>170.8</v>
      </c>
      <c r="P12" s="22">
        <v>173.2</v>
      </c>
      <c r="Q12" s="22">
        <v>2.3999999999999773</v>
      </c>
      <c r="R12" s="24"/>
      <c r="S12" s="24"/>
      <c r="T12" s="24"/>
      <c r="U12" s="24"/>
      <c r="V12" s="24"/>
      <c r="W12" s="24"/>
      <c r="X12" s="24"/>
      <c r="Y12" s="24"/>
      <c r="Z12" s="24"/>
      <c r="AA12" s="24"/>
      <c r="AB12" s="24"/>
      <c r="AC12" s="24"/>
      <c r="AD12" s="24"/>
    </row>
    <row r="13" spans="3:30" x14ac:dyDescent="0.3">
      <c r="C13" s="24"/>
      <c r="D13" s="25">
        <v>45047</v>
      </c>
      <c r="E13" s="3">
        <v>179.1</v>
      </c>
      <c r="F13" s="24">
        <f t="shared" si="0"/>
        <v>6.7453625632377095E-3</v>
      </c>
      <c r="G13" s="24"/>
      <c r="H13" s="24"/>
      <c r="I13" s="24"/>
      <c r="J13" s="24"/>
      <c r="K13" s="24"/>
      <c r="L13" s="24"/>
      <c r="M13" s="24"/>
      <c r="N13" s="24" t="s">
        <v>4</v>
      </c>
      <c r="O13" s="22">
        <v>219.4</v>
      </c>
      <c r="P13" s="22">
        <v>214.3</v>
      </c>
      <c r="Q13" s="22">
        <v>-5.0999999999999943</v>
      </c>
      <c r="R13" s="24"/>
      <c r="S13" s="24"/>
      <c r="T13" s="24"/>
      <c r="U13" s="24"/>
      <c r="V13" s="24"/>
      <c r="W13" s="24"/>
      <c r="X13" s="24"/>
      <c r="Y13" s="24"/>
      <c r="Z13" s="24"/>
      <c r="AA13" s="24"/>
      <c r="AB13" s="24"/>
      <c r="AC13" s="24"/>
      <c r="AD13" s="24"/>
    </row>
    <row r="14" spans="3:30" x14ac:dyDescent="0.3">
      <c r="N14" s="24" t="s">
        <v>9</v>
      </c>
      <c r="O14" s="22">
        <v>182.3</v>
      </c>
      <c r="P14" s="22">
        <v>161</v>
      </c>
      <c r="Q14" s="22">
        <v>-21.300000000000011</v>
      </c>
    </row>
    <row r="15" spans="3:30" x14ac:dyDescent="0.3">
      <c r="N15" s="24"/>
    </row>
    <row r="16" spans="3:30" x14ac:dyDescent="0.3">
      <c r="N16" s="24"/>
    </row>
    <row r="17" spans="8:22" x14ac:dyDescent="0.3">
      <c r="N17" s="24"/>
    </row>
    <row r="18" spans="8:22" x14ac:dyDescent="0.3">
      <c r="N18" s="24"/>
      <c r="S18" s="24"/>
      <c r="T18" s="3"/>
      <c r="U18" s="3"/>
      <c r="V18" s="22"/>
    </row>
    <row r="19" spans="8:22" x14ac:dyDescent="0.3">
      <c r="S19" s="24"/>
      <c r="T19" s="22"/>
      <c r="U19" s="22"/>
      <c r="V19" s="22"/>
    </row>
    <row r="20" spans="8:22" x14ac:dyDescent="0.3">
      <c r="S20" s="24"/>
      <c r="T20" s="22"/>
      <c r="U20" s="22"/>
      <c r="V20" s="22"/>
    </row>
    <row r="21" spans="8:22" ht="15.6" x14ac:dyDescent="0.3">
      <c r="H21" s="40" t="s">
        <v>94</v>
      </c>
      <c r="J21" s="40" t="s">
        <v>91</v>
      </c>
      <c r="L21" s="40" t="s">
        <v>95</v>
      </c>
      <c r="N21" s="40" t="s">
        <v>97</v>
      </c>
      <c r="S21" s="24"/>
      <c r="T21" s="22"/>
      <c r="U21" s="22"/>
      <c r="V21" s="22"/>
    </row>
    <row r="22" spans="8:22" ht="15.6" x14ac:dyDescent="0.3">
      <c r="H22" s="42">
        <v>1.0123734533183255E-2</v>
      </c>
      <c r="J22" s="41">
        <v>-1.3460459899046581E-2</v>
      </c>
      <c r="L22" s="43">
        <v>4.6999999999999886</v>
      </c>
      <c r="N22" s="43" t="s">
        <v>12</v>
      </c>
      <c r="S22" s="24"/>
      <c r="T22" s="22"/>
      <c r="U22" s="22"/>
      <c r="V22" s="22"/>
    </row>
    <row r="23" spans="8:22" x14ac:dyDescent="0.3">
      <c r="S23" s="24"/>
      <c r="T23" s="22"/>
      <c r="U23" s="22"/>
      <c r="V23" s="22"/>
    </row>
    <row r="24" spans="8:22" x14ac:dyDescent="0.3">
      <c r="S24" s="24"/>
      <c r="T24" s="22"/>
      <c r="U24" s="22"/>
      <c r="V24" s="22"/>
    </row>
    <row r="25" spans="8:22" x14ac:dyDescent="0.3">
      <c r="S25" s="24"/>
      <c r="T25" s="22"/>
      <c r="U25" s="22"/>
      <c r="V25" s="22"/>
    </row>
    <row r="26" spans="8:22" x14ac:dyDescent="0.3">
      <c r="S26" s="24"/>
      <c r="T26" s="22"/>
      <c r="U26" s="22"/>
      <c r="V26" s="22"/>
    </row>
    <row r="27" spans="8:22" x14ac:dyDescent="0.3">
      <c r="S27" s="24"/>
      <c r="T27" s="22"/>
      <c r="U27" s="22"/>
      <c r="V27" s="22"/>
    </row>
    <row r="28" spans="8:22" x14ac:dyDescent="0.3">
      <c r="S28" s="24"/>
      <c r="T28" s="22"/>
      <c r="U28" s="22"/>
      <c r="V28" s="22"/>
    </row>
    <row r="29" spans="8:22" x14ac:dyDescent="0.3">
      <c r="S29" s="24"/>
      <c r="T29" s="22"/>
      <c r="U29" s="22"/>
      <c r="V29" s="22"/>
    </row>
    <row r="30" spans="8:22" x14ac:dyDescent="0.3">
      <c r="S30" s="24"/>
      <c r="T30" s="3"/>
      <c r="U30" s="3"/>
      <c r="V30" s="22"/>
    </row>
    <row r="31" spans="8:22" x14ac:dyDescent="0.3">
      <c r="S31" s="24"/>
    </row>
    <row r="43" spans="8:15" x14ac:dyDescent="0.3">
      <c r="H43" s="51" t="s">
        <v>100</v>
      </c>
      <c r="I43" s="52" t="s">
        <v>99</v>
      </c>
      <c r="J43" s="52"/>
      <c r="K43" s="52"/>
      <c r="L43" s="52"/>
      <c r="M43" s="52"/>
      <c r="N43" s="52"/>
      <c r="O43" s="52"/>
    </row>
    <row r="44" spans="8:15" x14ac:dyDescent="0.3">
      <c r="H44" s="51"/>
      <c r="I44" s="52"/>
      <c r="J44" s="52"/>
      <c r="K44" s="52"/>
      <c r="L44" s="52"/>
      <c r="M44" s="52"/>
      <c r="N44" s="52"/>
      <c r="O44" s="52"/>
    </row>
    <row r="45" spans="8:15" x14ac:dyDescent="0.3">
      <c r="H45" s="51"/>
      <c r="I45" s="52"/>
      <c r="J45" s="52"/>
      <c r="K45" s="52"/>
      <c r="L45" s="52"/>
      <c r="M45" s="52"/>
      <c r="N45" s="52"/>
      <c r="O45" s="52"/>
    </row>
    <row r="46" spans="8:15" x14ac:dyDescent="0.3">
      <c r="H46" s="51"/>
      <c r="I46" s="52"/>
      <c r="J46" s="52"/>
      <c r="K46" s="52"/>
      <c r="L46" s="52"/>
      <c r="M46" s="52"/>
      <c r="N46" s="52"/>
      <c r="O46" s="52"/>
    </row>
  </sheetData>
  <autoFilter ref="N1:Q14" xr:uid="{93416D72-DA0D-49CA-8A29-FF48B1D3C8B9}">
    <sortState xmlns:xlrd2="http://schemas.microsoft.com/office/spreadsheetml/2017/richdata2" ref="N2:Q14">
      <sortCondition descending="1" ref="Q1:Q14"/>
    </sortState>
  </autoFilter>
  <mergeCells count="2">
    <mergeCell ref="I43:O46"/>
    <mergeCell ref="H43:H46"/>
  </mergeCells>
  <conditionalFormatting sqref="F1:F13">
    <cfRule type="top10" dxfId="5" priority="5" bottom="1" rank="1"/>
  </conditionalFormatting>
  <conditionalFormatting sqref="F2:F13">
    <cfRule type="top10" dxfId="4" priority="6" rank="1"/>
  </conditionalFormatting>
  <conditionalFormatting sqref="Q2:Q14">
    <cfRule type="top10" dxfId="3" priority="3" bottom="1" rank="1"/>
    <cfRule type="top10" dxfId="2" priority="4" rank="1"/>
  </conditionalFormatting>
  <conditionalFormatting sqref="V18:V30">
    <cfRule type="top10" dxfId="1" priority="1" bottom="1" rank="1"/>
    <cfRule type="top10" dxfId="0" priority="2" rank="1"/>
  </conditionalFormatting>
  <pageMargins left="0.7" right="0.7" top="0.75" bottom="0.75" header="0.3" footer="0.3"/>
  <ignoredErrors>
    <ignoredError sqref="I6"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0960-91B5-4690-80C5-E346F9318BD3}">
  <dimension ref="C3:J30"/>
  <sheetViews>
    <sheetView zoomScale="70" zoomScaleNormal="70" workbookViewId="0">
      <selection activeCell="K19" sqref="K19"/>
    </sheetView>
  </sheetViews>
  <sheetFormatPr defaultRowHeight="14.4" x14ac:dyDescent="0.3"/>
  <cols>
    <col min="3" max="3" width="34.77734375" bestFit="1" customWidth="1"/>
    <col min="4" max="4" width="28.5546875" bestFit="1" customWidth="1"/>
    <col min="5" max="5" width="22.44140625" bestFit="1" customWidth="1"/>
    <col min="6" max="6" width="21.33203125" customWidth="1"/>
    <col min="7" max="7" width="26.21875" bestFit="1" customWidth="1"/>
    <col min="8" max="8" width="21" bestFit="1" customWidth="1"/>
    <col min="9" max="9" width="15.21875" bestFit="1" customWidth="1"/>
    <col min="10" max="10" width="20" bestFit="1" customWidth="1"/>
    <col min="11" max="11" width="27.77734375" bestFit="1" customWidth="1"/>
    <col min="12" max="12" width="31.88671875" bestFit="1" customWidth="1"/>
    <col min="13" max="13" width="15.88671875" bestFit="1" customWidth="1"/>
    <col min="14" max="14" width="31.77734375" bestFit="1" customWidth="1"/>
    <col min="15" max="15" width="41.109375" bestFit="1" customWidth="1"/>
    <col min="16" max="16" width="27.88671875" bestFit="1" customWidth="1"/>
  </cols>
  <sheetData>
    <row r="3" spans="3:7" x14ac:dyDescent="0.3">
      <c r="C3" s="34" t="s">
        <v>106</v>
      </c>
      <c r="D3" s="36" t="s">
        <v>73</v>
      </c>
      <c r="F3" s="37"/>
      <c r="G3" s="38"/>
    </row>
    <row r="4" spans="3:7" x14ac:dyDescent="0.3">
      <c r="C4" t="s">
        <v>101</v>
      </c>
      <c r="D4" s="3">
        <f>AVERAGEIF(CPI!E4:E373,"Pre-COVID",CPI!AF4:AF373)</f>
        <v>128.45770750988135</v>
      </c>
      <c r="F4" s="12"/>
      <c r="G4" s="39"/>
    </row>
    <row r="5" spans="3:7" x14ac:dyDescent="0.3">
      <c r="C5" t="s">
        <v>102</v>
      </c>
      <c r="D5" s="3">
        <f>AVERAGEIF(CPI!E4:E373,"Post-COVID",CPI!AF4:AF373)</f>
        <v>164.2538461538461</v>
      </c>
      <c r="F5" s="12"/>
      <c r="G5" s="39"/>
    </row>
    <row r="6" spans="3:7" x14ac:dyDescent="0.3">
      <c r="C6" s="34"/>
      <c r="D6" s="35"/>
      <c r="F6" s="12"/>
      <c r="G6" s="39"/>
    </row>
    <row r="7" spans="3:7" x14ac:dyDescent="0.3">
      <c r="F7" s="12"/>
      <c r="G7" s="39"/>
    </row>
    <row r="9" spans="3:7" x14ac:dyDescent="0.3">
      <c r="C9" s="34" t="s">
        <v>103</v>
      </c>
      <c r="D9" s="36" t="s">
        <v>73</v>
      </c>
    </row>
    <row r="10" spans="3:7" x14ac:dyDescent="0.3">
      <c r="C10" t="s">
        <v>101</v>
      </c>
      <c r="D10" s="3">
        <f>AVERAGEIF(CPI!E4:E373,"Pre-COVID",CPI!F4:R373)</f>
        <v>128.94189723320159</v>
      </c>
    </row>
    <row r="11" spans="3:7" x14ac:dyDescent="0.3">
      <c r="C11" t="s">
        <v>102</v>
      </c>
      <c r="D11" s="3">
        <f>AVERAGEIF(CPI!E4:E373,"Post-COVID",CPI!F4:R373)</f>
        <v>153.87777777777779</v>
      </c>
    </row>
    <row r="12" spans="3:7" x14ac:dyDescent="0.3">
      <c r="C12" s="34"/>
      <c r="D12" s="35"/>
    </row>
    <row r="15" spans="3:7" x14ac:dyDescent="0.3">
      <c r="C15" s="34" t="s">
        <v>104</v>
      </c>
      <c r="D15" s="36" t="s">
        <v>73</v>
      </c>
    </row>
    <row r="16" spans="3:7" x14ac:dyDescent="0.3">
      <c r="C16" t="s">
        <v>101</v>
      </c>
      <c r="D16" s="3">
        <f>AVERAGEIF(CPI!E280:E373,"Pre-COVID",CPI!Z4:Z373)</f>
        <v>171.71250000000001</v>
      </c>
    </row>
    <row r="17" spans="3:10" x14ac:dyDescent="0.3">
      <c r="C17" t="s">
        <v>102</v>
      </c>
      <c r="D17" s="3">
        <f>AVERAGEIF(CPI!E280:E373,"Post-COVID",CPI!Z4:Z373)</f>
        <v>111.69193548387099</v>
      </c>
    </row>
    <row r="18" spans="3:10" x14ac:dyDescent="0.3">
      <c r="C18" s="34"/>
      <c r="D18" s="35"/>
    </row>
    <row r="21" spans="3:10" x14ac:dyDescent="0.3">
      <c r="C21" s="34" t="s">
        <v>105</v>
      </c>
      <c r="D21" s="36" t="s">
        <v>73</v>
      </c>
    </row>
    <row r="22" spans="3:10" x14ac:dyDescent="0.3">
      <c r="C22" t="s">
        <v>101</v>
      </c>
      <c r="D22" s="3">
        <f>AVERAGEIF(CPI!E4:E373,"Pre-COVID",CPI!Y4:Y373)</f>
        <v>126.81106719367587</v>
      </c>
    </row>
    <row r="23" spans="3:10" x14ac:dyDescent="0.3">
      <c r="C23" t="s">
        <v>102</v>
      </c>
      <c r="D23" s="3">
        <f>AVERAGEIF(CPI!E4:E373,"Post-COVID",CPI!Y4:Y373)</f>
        <v>158.97264957264946</v>
      </c>
    </row>
    <row r="24" spans="3:10" x14ac:dyDescent="0.3">
      <c r="C24" s="34"/>
      <c r="D24" s="35"/>
    </row>
    <row r="27" spans="3:10" ht="14.4" customHeight="1" x14ac:dyDescent="0.3">
      <c r="E27" s="51" t="s">
        <v>100</v>
      </c>
      <c r="F27" s="52" t="s">
        <v>112</v>
      </c>
      <c r="G27" s="52"/>
      <c r="H27" s="52"/>
      <c r="I27" s="52"/>
      <c r="J27" s="52"/>
    </row>
    <row r="28" spans="3:10" x14ac:dyDescent="0.3">
      <c r="E28" s="51"/>
      <c r="F28" s="52"/>
      <c r="G28" s="52"/>
      <c r="H28" s="52"/>
      <c r="I28" s="52"/>
      <c r="J28" s="52"/>
    </row>
    <row r="29" spans="3:10" x14ac:dyDescent="0.3">
      <c r="E29" s="51"/>
      <c r="F29" s="52"/>
      <c r="G29" s="52"/>
      <c r="H29" s="52"/>
      <c r="I29" s="52"/>
      <c r="J29" s="52"/>
    </row>
    <row r="30" spans="3:10" x14ac:dyDescent="0.3">
      <c r="E30" s="51"/>
      <c r="F30" s="52"/>
      <c r="G30" s="52"/>
      <c r="H30" s="52"/>
      <c r="I30" s="52"/>
      <c r="J30" s="52"/>
    </row>
  </sheetData>
  <mergeCells count="2">
    <mergeCell ref="E27:E30"/>
    <mergeCell ref="F27:J3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BFC69-FD9C-4764-8C5E-C56B5012FB9E}">
  <dimension ref="A1:T48"/>
  <sheetViews>
    <sheetView topLeftCell="G31" zoomScale="85" zoomScaleNormal="85" workbookViewId="0">
      <selection activeCell="Q46" sqref="Q46"/>
    </sheetView>
  </sheetViews>
  <sheetFormatPr defaultRowHeight="14.4" x14ac:dyDescent="0.3"/>
  <cols>
    <col min="1" max="2" width="15.88671875" bestFit="1" customWidth="1"/>
    <col min="3" max="3" width="14.6640625" customWidth="1"/>
    <col min="4" max="4" width="6.5546875" bestFit="1" customWidth="1"/>
    <col min="5" max="5" width="17.77734375" customWidth="1"/>
    <col min="6" max="6" width="12" customWidth="1"/>
    <col min="7" max="7" width="11.21875" customWidth="1"/>
    <col min="9" max="9" width="15.88671875" bestFit="1" customWidth="1"/>
    <col min="10" max="10" width="23.109375" bestFit="1" customWidth="1"/>
    <col min="11" max="11" width="27.6640625" bestFit="1" customWidth="1"/>
    <col min="12" max="12" width="15.88671875" bestFit="1" customWidth="1"/>
    <col min="13" max="13" width="8.88671875" bestFit="1" customWidth="1"/>
    <col min="14" max="14" width="11" bestFit="1" customWidth="1"/>
    <col min="19" max="19" width="9" bestFit="1" customWidth="1"/>
    <col min="20" max="20" width="11" bestFit="1" customWidth="1"/>
  </cols>
  <sheetData>
    <row r="1" spans="1:12" x14ac:dyDescent="0.3">
      <c r="A1" t="s">
        <v>45</v>
      </c>
      <c r="B1" t="s">
        <v>125</v>
      </c>
      <c r="C1" t="s">
        <v>15</v>
      </c>
      <c r="D1" t="s">
        <v>23</v>
      </c>
      <c r="E1" t="s">
        <v>24</v>
      </c>
      <c r="F1" t="s">
        <v>22</v>
      </c>
      <c r="G1" t="s">
        <v>26</v>
      </c>
      <c r="I1" s="11" t="s">
        <v>58</v>
      </c>
      <c r="J1" s="11" t="s">
        <v>113</v>
      </c>
      <c r="K1" t="s">
        <v>119</v>
      </c>
    </row>
    <row r="2" spans="1:12" x14ac:dyDescent="0.3">
      <c r="A2" s="25">
        <v>44197</v>
      </c>
      <c r="B2" s="47">
        <v>54.77</v>
      </c>
      <c r="C2">
        <v>161</v>
      </c>
      <c r="D2">
        <v>159.30000000000001</v>
      </c>
      <c r="E2">
        <v>141.9</v>
      </c>
      <c r="F2">
        <v>150</v>
      </c>
      <c r="G2">
        <v>159.19999999999999</v>
      </c>
      <c r="I2" t="s">
        <v>107</v>
      </c>
      <c r="J2" s="3">
        <f>CORREL(B2:B30,F2:F30)</f>
        <v>0.48290481717531697</v>
      </c>
      <c r="K2" t="s">
        <v>114</v>
      </c>
    </row>
    <row r="3" spans="1:12" x14ac:dyDescent="0.3">
      <c r="A3" s="25">
        <v>44228</v>
      </c>
      <c r="B3" s="47">
        <v>62.28</v>
      </c>
      <c r="C3">
        <v>156.9</v>
      </c>
      <c r="D3">
        <v>161.30000000000001</v>
      </c>
      <c r="E3">
        <v>145.1</v>
      </c>
      <c r="F3">
        <v>150.9</v>
      </c>
      <c r="G3">
        <v>159.5</v>
      </c>
      <c r="I3" t="s">
        <v>26</v>
      </c>
      <c r="J3" s="49">
        <f>CORREL(B2:B30,G2:G30)</f>
        <v>0.41586102982199047</v>
      </c>
      <c r="K3" t="s">
        <v>115</v>
      </c>
    </row>
    <row r="4" spans="1:12" x14ac:dyDescent="0.3">
      <c r="A4" s="25">
        <v>44256</v>
      </c>
      <c r="B4" s="47">
        <v>65.41</v>
      </c>
      <c r="C4">
        <v>156.69999999999999</v>
      </c>
      <c r="D4">
        <v>161.69999999999999</v>
      </c>
      <c r="E4">
        <v>146.19999999999999</v>
      </c>
      <c r="F4">
        <v>151.19999999999999</v>
      </c>
      <c r="G4">
        <v>160.19999999999999</v>
      </c>
      <c r="I4" t="s">
        <v>23</v>
      </c>
      <c r="J4" s="3">
        <f>CORREL(B2:B30,D2:D30)</f>
        <v>0.45179277484652441</v>
      </c>
      <c r="K4" t="s">
        <v>116</v>
      </c>
    </row>
    <row r="5" spans="1:12" x14ac:dyDescent="0.3">
      <c r="A5" s="25">
        <v>44287</v>
      </c>
      <c r="B5" s="47">
        <v>64.81</v>
      </c>
      <c r="C5">
        <v>158</v>
      </c>
      <c r="D5">
        <v>162.30000000000001</v>
      </c>
      <c r="E5">
        <v>146.6</v>
      </c>
      <c r="F5">
        <v>151.80000000000001</v>
      </c>
      <c r="G5">
        <v>160.30000000000001</v>
      </c>
      <c r="I5" t="s">
        <v>57</v>
      </c>
      <c r="J5" s="3">
        <f>CORREL(B2:B30,E2:E30)</f>
        <v>0.64359703910374755</v>
      </c>
      <c r="K5" t="s">
        <v>117</v>
      </c>
    </row>
    <row r="6" spans="1:12" x14ac:dyDescent="0.3">
      <c r="A6" s="25">
        <v>44317</v>
      </c>
      <c r="B6" s="47">
        <v>68.53</v>
      </c>
      <c r="C6">
        <v>160.69999999999999</v>
      </c>
      <c r="D6">
        <v>165.8</v>
      </c>
      <c r="E6">
        <v>148.9</v>
      </c>
      <c r="F6">
        <v>154.69999999999999</v>
      </c>
      <c r="G6">
        <v>161.19999999999999</v>
      </c>
      <c r="I6" t="s">
        <v>59</v>
      </c>
      <c r="J6" s="3">
        <f>CORREL(B2:B30,C2:C30)</f>
        <v>0.55216235950806958</v>
      </c>
      <c r="K6" t="s">
        <v>118</v>
      </c>
    </row>
    <row r="7" spans="1:12" x14ac:dyDescent="0.3">
      <c r="A7" s="25">
        <v>44348</v>
      </c>
      <c r="B7" s="47">
        <v>73.16</v>
      </c>
      <c r="C7">
        <v>162.6</v>
      </c>
      <c r="D7">
        <v>166.3</v>
      </c>
      <c r="E7">
        <v>150.69999999999999</v>
      </c>
      <c r="F7">
        <v>154.80000000000001</v>
      </c>
      <c r="G7">
        <v>161.69999999999999</v>
      </c>
    </row>
    <row r="8" spans="1:12" x14ac:dyDescent="0.3">
      <c r="A8" s="25">
        <v>44378</v>
      </c>
      <c r="B8" s="47">
        <v>75.17</v>
      </c>
      <c r="C8">
        <v>164</v>
      </c>
      <c r="D8">
        <v>167</v>
      </c>
      <c r="E8">
        <v>153.1</v>
      </c>
      <c r="F8">
        <v>155.80000000000001</v>
      </c>
      <c r="G8">
        <v>163.19999999999999</v>
      </c>
    </row>
    <row r="9" spans="1:12" x14ac:dyDescent="0.3">
      <c r="A9" s="25">
        <v>44409</v>
      </c>
      <c r="B9" s="47">
        <v>70.75</v>
      </c>
      <c r="C9">
        <v>164</v>
      </c>
      <c r="D9">
        <v>168.4</v>
      </c>
      <c r="E9">
        <v>154</v>
      </c>
      <c r="F9">
        <v>157.5</v>
      </c>
      <c r="G9">
        <v>163.80000000000001</v>
      </c>
    </row>
    <row r="10" spans="1:12" x14ac:dyDescent="0.3">
      <c r="A10" s="25">
        <v>44440</v>
      </c>
      <c r="B10" s="47">
        <v>74.489999999999995</v>
      </c>
      <c r="C10">
        <v>164</v>
      </c>
      <c r="D10">
        <v>168.4</v>
      </c>
      <c r="E10">
        <v>154</v>
      </c>
      <c r="F10">
        <v>157.5</v>
      </c>
      <c r="G10">
        <v>163.69999999999999</v>
      </c>
    </row>
    <row r="11" spans="1:12" x14ac:dyDescent="0.3">
      <c r="A11" s="25">
        <v>44470</v>
      </c>
      <c r="B11" s="47">
        <v>83.54</v>
      </c>
      <c r="C11">
        <v>167.7</v>
      </c>
      <c r="D11">
        <v>169.1</v>
      </c>
      <c r="E11">
        <v>155.69999999999999</v>
      </c>
      <c r="F11">
        <v>158.4</v>
      </c>
      <c r="G11">
        <v>163.9</v>
      </c>
    </row>
    <row r="12" spans="1:12" x14ac:dyDescent="0.3">
      <c r="A12" s="25">
        <v>44501</v>
      </c>
      <c r="B12" s="47">
        <v>81.05</v>
      </c>
      <c r="C12">
        <v>169.7</v>
      </c>
      <c r="D12">
        <v>169.9</v>
      </c>
      <c r="E12">
        <v>154.80000000000001</v>
      </c>
      <c r="F12">
        <v>159.30000000000001</v>
      </c>
      <c r="G12">
        <v>164.3</v>
      </c>
      <c r="J12" s="50" t="s">
        <v>120</v>
      </c>
      <c r="K12" s="50" t="s">
        <v>121</v>
      </c>
    </row>
    <row r="13" spans="1:12" x14ac:dyDescent="0.3">
      <c r="A13" s="25">
        <v>44531</v>
      </c>
      <c r="B13" s="47">
        <v>74.17</v>
      </c>
      <c r="C13">
        <v>168.2</v>
      </c>
      <c r="D13">
        <v>170.6</v>
      </c>
      <c r="E13">
        <v>155.69999999999999</v>
      </c>
      <c r="F13">
        <v>160.19999999999999</v>
      </c>
      <c r="G13">
        <v>164.4</v>
      </c>
      <c r="J13" s="50"/>
      <c r="K13" s="50"/>
    </row>
    <row r="14" spans="1:12" x14ac:dyDescent="0.3">
      <c r="A14" s="25">
        <v>44562</v>
      </c>
      <c r="B14" s="47">
        <v>86.51</v>
      </c>
      <c r="C14">
        <v>166.4</v>
      </c>
      <c r="D14">
        <v>171.4</v>
      </c>
      <c r="E14">
        <v>156.5</v>
      </c>
      <c r="F14">
        <v>161.1</v>
      </c>
      <c r="G14">
        <v>164.7</v>
      </c>
      <c r="J14" s="45" t="s">
        <v>57</v>
      </c>
      <c r="K14" s="46">
        <v>0.64359703910374755</v>
      </c>
      <c r="L14" t="s">
        <v>127</v>
      </c>
    </row>
    <row r="15" spans="1:12" x14ac:dyDescent="0.3">
      <c r="A15" s="25">
        <v>44593</v>
      </c>
      <c r="B15" s="47">
        <v>97.13</v>
      </c>
      <c r="C15">
        <v>166.2</v>
      </c>
      <c r="D15">
        <v>172.2</v>
      </c>
      <c r="E15">
        <v>156.9</v>
      </c>
      <c r="F15">
        <v>161.80000000000001</v>
      </c>
      <c r="G15">
        <v>165.4</v>
      </c>
    </row>
    <row r="16" spans="1:12" x14ac:dyDescent="0.3">
      <c r="A16" s="25">
        <v>44621</v>
      </c>
      <c r="B16" s="47">
        <v>117.25</v>
      </c>
      <c r="C16">
        <v>168.4</v>
      </c>
      <c r="D16">
        <v>173</v>
      </c>
      <c r="E16">
        <v>157.9</v>
      </c>
      <c r="F16">
        <v>162.80000000000001</v>
      </c>
      <c r="G16">
        <v>166</v>
      </c>
    </row>
    <row r="17" spans="1:11" x14ac:dyDescent="0.3">
      <c r="A17" s="25">
        <v>44652</v>
      </c>
      <c r="B17" s="47">
        <v>104.58</v>
      </c>
      <c r="C17">
        <v>170.8</v>
      </c>
      <c r="D17">
        <v>174</v>
      </c>
      <c r="E17">
        <v>162.6</v>
      </c>
      <c r="F17">
        <v>164</v>
      </c>
      <c r="G17">
        <v>166.9</v>
      </c>
      <c r="J17" s="50" t="s">
        <v>126</v>
      </c>
      <c r="K17" s="50" t="s">
        <v>128</v>
      </c>
    </row>
    <row r="18" spans="1:11" x14ac:dyDescent="0.3">
      <c r="A18" s="25">
        <v>44682</v>
      </c>
      <c r="B18" s="47">
        <v>113.34</v>
      </c>
      <c r="C18">
        <v>173.3</v>
      </c>
      <c r="D18">
        <v>174.8</v>
      </c>
      <c r="E18">
        <v>163</v>
      </c>
      <c r="F18">
        <v>165.2</v>
      </c>
      <c r="G18">
        <v>167.9</v>
      </c>
      <c r="J18" s="50"/>
      <c r="K18" s="50"/>
    </row>
    <row r="19" spans="1:11" x14ac:dyDescent="0.3">
      <c r="A19" s="25">
        <v>44713</v>
      </c>
      <c r="B19" s="47">
        <v>122.71</v>
      </c>
      <c r="C19">
        <v>174.9</v>
      </c>
      <c r="D19">
        <v>175.4</v>
      </c>
      <c r="E19">
        <v>161.1</v>
      </c>
      <c r="F19">
        <v>166.4</v>
      </c>
      <c r="G19">
        <v>169</v>
      </c>
      <c r="J19" s="46">
        <f>AVERAGE(J2:J6)</f>
        <v>0.50926360409112981</v>
      </c>
      <c r="K19" s="46" t="s">
        <v>122</v>
      </c>
    </row>
    <row r="20" spans="1:11" x14ac:dyDescent="0.3">
      <c r="A20" s="25">
        <v>44743</v>
      </c>
      <c r="B20" s="47">
        <v>111.93</v>
      </c>
      <c r="C20">
        <v>175</v>
      </c>
      <c r="D20">
        <v>176.1</v>
      </c>
      <c r="E20">
        <v>161.6</v>
      </c>
      <c r="F20">
        <v>167.4</v>
      </c>
      <c r="G20">
        <v>171.4</v>
      </c>
    </row>
    <row r="21" spans="1:11" x14ac:dyDescent="0.3">
      <c r="A21" s="25">
        <v>44774</v>
      </c>
      <c r="B21" s="47">
        <v>100.45</v>
      </c>
      <c r="C21">
        <v>176.3</v>
      </c>
      <c r="D21">
        <v>176.8</v>
      </c>
      <c r="E21">
        <v>161.9</v>
      </c>
      <c r="F21">
        <v>168.5</v>
      </c>
      <c r="G21">
        <v>172.3</v>
      </c>
    </row>
    <row r="22" spans="1:11" x14ac:dyDescent="0.3">
      <c r="A22" s="25">
        <v>44805</v>
      </c>
      <c r="B22" s="47">
        <v>89.76</v>
      </c>
      <c r="C22">
        <v>177.8</v>
      </c>
      <c r="D22">
        <v>177.8</v>
      </c>
      <c r="E22">
        <v>162.30000000000001</v>
      </c>
      <c r="F22">
        <v>169.5</v>
      </c>
      <c r="G22">
        <v>173.1</v>
      </c>
    </row>
    <row r="23" spans="1:11" x14ac:dyDescent="0.3">
      <c r="A23" s="25">
        <v>44835</v>
      </c>
      <c r="B23" s="47">
        <v>93.33</v>
      </c>
      <c r="C23">
        <v>179.6</v>
      </c>
      <c r="D23">
        <v>178.7</v>
      </c>
      <c r="E23">
        <v>162.9</v>
      </c>
      <c r="F23">
        <v>170.4</v>
      </c>
      <c r="G23">
        <v>173.4</v>
      </c>
    </row>
    <row r="24" spans="1:11" x14ac:dyDescent="0.3">
      <c r="A24" s="25">
        <v>44866</v>
      </c>
      <c r="B24" s="47">
        <v>91.42</v>
      </c>
      <c r="C24">
        <v>178.3</v>
      </c>
      <c r="D24">
        <v>179.8</v>
      </c>
      <c r="E24">
        <v>163</v>
      </c>
      <c r="F24">
        <v>171.4</v>
      </c>
      <c r="G24">
        <v>173.7</v>
      </c>
    </row>
    <row r="25" spans="1:11" x14ac:dyDescent="0.3">
      <c r="A25" s="25">
        <v>44896</v>
      </c>
      <c r="B25" s="47">
        <v>80.92</v>
      </c>
      <c r="C25">
        <v>175.9</v>
      </c>
      <c r="D25">
        <v>181.1</v>
      </c>
      <c r="E25">
        <v>163.4</v>
      </c>
      <c r="F25">
        <v>172.1</v>
      </c>
      <c r="G25">
        <v>174.1</v>
      </c>
    </row>
    <row r="26" spans="1:11" x14ac:dyDescent="0.3">
      <c r="A26" s="25">
        <v>44927</v>
      </c>
      <c r="B26" s="47">
        <v>82.5</v>
      </c>
      <c r="C26">
        <v>176.7</v>
      </c>
      <c r="D26">
        <v>182.3</v>
      </c>
      <c r="E26">
        <v>163.6</v>
      </c>
      <c r="F26">
        <v>172.9</v>
      </c>
      <c r="G26">
        <v>174.3</v>
      </c>
    </row>
    <row r="27" spans="1:11" x14ac:dyDescent="0.3">
      <c r="A27" s="25">
        <v>44958</v>
      </c>
      <c r="B27" s="47">
        <v>82.59</v>
      </c>
      <c r="C27">
        <v>177</v>
      </c>
      <c r="D27">
        <v>184.4</v>
      </c>
      <c r="E27">
        <v>164.2</v>
      </c>
      <c r="F27">
        <v>174.2</v>
      </c>
      <c r="G27">
        <v>175</v>
      </c>
    </row>
    <row r="28" spans="1:11" x14ac:dyDescent="0.3">
      <c r="A28" s="25">
        <v>44986</v>
      </c>
      <c r="B28" s="47">
        <v>78.430000000000007</v>
      </c>
      <c r="C28">
        <v>177</v>
      </c>
      <c r="D28">
        <v>184.4</v>
      </c>
      <c r="E28">
        <v>164.2</v>
      </c>
      <c r="F28">
        <v>174.2</v>
      </c>
      <c r="G28">
        <v>175</v>
      </c>
    </row>
    <row r="29" spans="1:11" x14ac:dyDescent="0.3">
      <c r="A29" s="25">
        <v>45017</v>
      </c>
      <c r="B29" s="47">
        <v>84.64</v>
      </c>
      <c r="C29">
        <v>177.9</v>
      </c>
      <c r="D29">
        <v>185</v>
      </c>
      <c r="E29">
        <v>164.5</v>
      </c>
      <c r="F29">
        <v>174.6</v>
      </c>
      <c r="G29">
        <v>176.4</v>
      </c>
    </row>
    <row r="30" spans="1:11" x14ac:dyDescent="0.3">
      <c r="A30" s="25">
        <v>45047</v>
      </c>
      <c r="B30" s="47">
        <v>75.47</v>
      </c>
      <c r="C30">
        <v>179.1</v>
      </c>
      <c r="D30">
        <v>185.7</v>
      </c>
      <c r="E30">
        <v>164.8</v>
      </c>
      <c r="F30">
        <v>175.2</v>
      </c>
      <c r="G30">
        <v>177.1</v>
      </c>
    </row>
    <row r="39" spans="2:20" ht="14.4" customHeight="1" x14ac:dyDescent="0.3">
      <c r="H39" s="51" t="s">
        <v>100</v>
      </c>
      <c r="I39" s="52" t="s">
        <v>129</v>
      </c>
      <c r="J39" s="52"/>
      <c r="K39" s="52"/>
      <c r="L39" s="52"/>
      <c r="M39" s="52"/>
      <c r="N39" s="52"/>
      <c r="O39" s="52"/>
      <c r="P39" s="52"/>
      <c r="Q39" s="52"/>
    </row>
    <row r="40" spans="2:20" x14ac:dyDescent="0.3">
      <c r="H40" s="51"/>
      <c r="I40" s="52"/>
      <c r="J40" s="52"/>
      <c r="K40" s="52"/>
      <c r="L40" s="52"/>
      <c r="M40" s="52"/>
      <c r="N40" s="52"/>
      <c r="O40" s="52"/>
      <c r="P40" s="52"/>
      <c r="Q40" s="52"/>
    </row>
    <row r="41" spans="2:20" x14ac:dyDescent="0.3">
      <c r="H41" s="51"/>
      <c r="I41" s="52"/>
      <c r="J41" s="52"/>
      <c r="K41" s="52"/>
      <c r="L41" s="52"/>
      <c r="M41" s="52"/>
      <c r="N41" s="52"/>
      <c r="O41" s="52"/>
      <c r="P41" s="52"/>
      <c r="Q41" s="52"/>
    </row>
    <row r="42" spans="2:20" x14ac:dyDescent="0.3">
      <c r="H42" s="51"/>
      <c r="I42" s="52"/>
      <c r="J42" s="52"/>
      <c r="K42" s="52"/>
      <c r="L42" s="52"/>
      <c r="M42" s="52"/>
      <c r="N42" s="52"/>
      <c r="O42" s="52"/>
      <c r="P42" s="52"/>
      <c r="Q42" s="52"/>
    </row>
    <row r="47" spans="2:20" x14ac:dyDescent="0.3">
      <c r="B47" s="11" t="s">
        <v>58</v>
      </c>
      <c r="C47" s="11" t="s">
        <v>113</v>
      </c>
      <c r="F47" s="11" t="s">
        <v>58</v>
      </c>
      <c r="G47" s="11" t="s">
        <v>113</v>
      </c>
      <c r="J47" s="11" t="s">
        <v>58</v>
      </c>
      <c r="K47" s="11" t="s">
        <v>113</v>
      </c>
      <c r="M47" s="11" t="s">
        <v>58</v>
      </c>
      <c r="N47" s="11" t="s">
        <v>113</v>
      </c>
      <c r="S47" s="11" t="s">
        <v>58</v>
      </c>
      <c r="T47" s="11" t="s">
        <v>113</v>
      </c>
    </row>
    <row r="48" spans="2:20" x14ac:dyDescent="0.3">
      <c r="B48" t="s">
        <v>107</v>
      </c>
      <c r="C48" s="3">
        <v>0.48290481717531697</v>
      </c>
      <c r="F48" t="s">
        <v>26</v>
      </c>
      <c r="G48" s="3">
        <v>0.41586102982199047</v>
      </c>
      <c r="J48" t="s">
        <v>23</v>
      </c>
      <c r="K48" s="3">
        <v>0.45179277484652441</v>
      </c>
      <c r="M48" t="s">
        <v>57</v>
      </c>
      <c r="N48" s="3">
        <v>0.64359703910374755</v>
      </c>
      <c r="S48" t="s">
        <v>59</v>
      </c>
      <c r="T48" s="3">
        <v>0.55216235950806958</v>
      </c>
    </row>
  </sheetData>
  <autoFilter ref="I1:J6" xr:uid="{726BFC69-FD9C-4764-8C5E-C56B5012FB9E}">
    <sortState xmlns:xlrd2="http://schemas.microsoft.com/office/spreadsheetml/2017/richdata2" ref="I2:J9">
      <sortCondition descending="1" ref="J1:J6"/>
    </sortState>
  </autoFilter>
  <mergeCells count="6">
    <mergeCell ref="J12:J13"/>
    <mergeCell ref="K12:K13"/>
    <mergeCell ref="J17:J18"/>
    <mergeCell ref="K17:K18"/>
    <mergeCell ref="H39:H42"/>
    <mergeCell ref="I39:Q4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12F7-0C3A-4A71-AA37-BE4CE2EA1B9B}">
  <dimension ref="A1:AG13"/>
  <sheetViews>
    <sheetView zoomScale="85" zoomScaleNormal="85" workbookViewId="0">
      <selection activeCell="G19" sqref="G19"/>
    </sheetView>
  </sheetViews>
  <sheetFormatPr defaultRowHeight="14.4" x14ac:dyDescent="0.3"/>
  <cols>
    <col min="1" max="1" width="14" bestFit="1" customWidth="1"/>
    <col min="2" max="2" width="11.88671875" bestFit="1" customWidth="1"/>
    <col min="3" max="3" width="4.77734375" bestFit="1" customWidth="1"/>
    <col min="4" max="4" width="7" bestFit="1" customWidth="1"/>
    <col min="5" max="5" width="4.33203125" bestFit="1" customWidth="1"/>
    <col min="6" max="6" width="5.77734375" bestFit="1" customWidth="1"/>
    <col min="7" max="7" width="20" bestFit="1" customWidth="1"/>
    <col min="8" max="8" width="13.33203125" bestFit="1" customWidth="1"/>
    <col min="9" max="9" width="10.77734375" customWidth="1"/>
    <col min="10" max="10" width="17.44140625" bestFit="1" customWidth="1"/>
    <col min="11" max="11" width="12" bestFit="1" customWidth="1"/>
    <col min="12" max="12" width="10.44140625" customWidth="1"/>
    <col min="13" max="13" width="10.6640625" bestFit="1" customWidth="1"/>
    <col min="14" max="14" width="19.21875" bestFit="1" customWidth="1"/>
    <col min="15" max="15" width="23.44140625" bestFit="1" customWidth="1"/>
    <col min="16" max="16" width="12.109375" customWidth="1"/>
    <col min="17" max="17" width="23.33203125" bestFit="1" customWidth="1"/>
    <col min="18" max="18" width="33.109375" bestFit="1" customWidth="1"/>
    <col min="19" max="19" width="19.21875" bestFit="1" customWidth="1"/>
    <col min="20" max="20" width="27.44140625" bestFit="1" customWidth="1"/>
    <col min="21" max="21" width="8.44140625" bestFit="1" customWidth="1"/>
    <col min="22" max="22" width="9.5546875" bestFit="1" customWidth="1"/>
    <col min="23" max="23" width="21.44140625" bestFit="1" customWidth="1"/>
    <col min="24" max="24" width="8.21875" bestFit="1" customWidth="1"/>
    <col min="25" max="25" width="13.109375" bestFit="1" customWidth="1"/>
    <col min="26" max="26" width="28.33203125" bestFit="1" customWidth="1"/>
    <col min="27" max="27" width="7.6640625" bestFit="1" customWidth="1"/>
    <col min="28" max="28" width="28.6640625" bestFit="1" customWidth="1"/>
    <col min="29" max="29" width="26" bestFit="1" customWidth="1"/>
    <col min="30" max="30" width="10" bestFit="1" customWidth="1"/>
    <col min="31" max="31" width="23.77734375" bestFit="1" customWidth="1"/>
    <col min="32" max="32" width="13.6640625" bestFit="1" customWidth="1"/>
    <col min="33" max="33" width="13.33203125" bestFit="1" customWidth="1"/>
  </cols>
  <sheetData>
    <row r="1" spans="1:33" x14ac:dyDescent="0.3">
      <c r="B1" s="61" t="s">
        <v>47</v>
      </c>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row>
    <row r="2" spans="1:33" x14ac:dyDescent="0.3">
      <c r="B2" s="6" t="s">
        <v>0</v>
      </c>
      <c r="C2" s="6" t="s">
        <v>1</v>
      </c>
      <c r="D2" s="6" t="s">
        <v>2</v>
      </c>
      <c r="E2" s="6" t="s">
        <v>46</v>
      </c>
      <c r="F2" s="6" t="s">
        <v>45</v>
      </c>
      <c r="G2" s="6" t="s">
        <v>3</v>
      </c>
      <c r="H2" s="6" t="s">
        <v>4</v>
      </c>
      <c r="I2" s="6" t="s">
        <v>5</v>
      </c>
      <c r="J2" s="6" t="s">
        <v>6</v>
      </c>
      <c r="K2" s="6" t="s">
        <v>7</v>
      </c>
      <c r="L2" s="6" t="s">
        <v>8</v>
      </c>
      <c r="M2" s="6" t="s">
        <v>9</v>
      </c>
      <c r="N2" s="6" t="s">
        <v>10</v>
      </c>
      <c r="O2" s="6" t="s">
        <v>11</v>
      </c>
      <c r="P2" s="6" t="s">
        <v>12</v>
      </c>
      <c r="Q2" s="6" t="s">
        <v>13</v>
      </c>
      <c r="R2" s="6" t="s">
        <v>14</v>
      </c>
      <c r="S2" s="6" t="s">
        <v>15</v>
      </c>
      <c r="T2" s="6" t="s">
        <v>16</v>
      </c>
      <c r="U2" s="6" t="s">
        <v>17</v>
      </c>
      <c r="V2" s="6" t="s">
        <v>18</v>
      </c>
      <c r="W2" s="6" t="s">
        <v>19</v>
      </c>
      <c r="X2" s="6" t="s">
        <v>20</v>
      </c>
      <c r="Y2" s="6" t="s">
        <v>21</v>
      </c>
      <c r="Z2" s="6" t="s">
        <v>22</v>
      </c>
      <c r="AA2" s="6" t="s">
        <v>23</v>
      </c>
      <c r="AB2" s="6" t="s">
        <v>24</v>
      </c>
      <c r="AC2" s="6" t="s">
        <v>25</v>
      </c>
      <c r="AD2" s="6" t="s">
        <v>26</v>
      </c>
      <c r="AE2" s="6" t="s">
        <v>27</v>
      </c>
      <c r="AF2" s="6" t="s">
        <v>28</v>
      </c>
      <c r="AG2" s="6" t="s">
        <v>29</v>
      </c>
    </row>
    <row r="3" spans="1:33" x14ac:dyDescent="0.3">
      <c r="A3" s="6" t="s">
        <v>48</v>
      </c>
      <c r="B3">
        <f>COUNTBLANK(All_India_Index_Upto_April23__13[Sector])</f>
        <v>0</v>
      </c>
      <c r="C3">
        <f>COUNTBLANK(All_India_Index_Upto_April23__13[Year])</f>
        <v>0</v>
      </c>
      <c r="D3">
        <f>COUNTBLANK(All_India_Index_Upto_April23__13[Month])</f>
        <v>0</v>
      </c>
      <c r="E3">
        <f>COUNTBLANK(All_India_Index_Upto_April23__13[Date])</f>
        <v>0</v>
      </c>
      <c r="F3">
        <f>COUNTBLANK(All_India_Index_Upto_April23__13[Covid Period])</f>
        <v>0</v>
      </c>
      <c r="G3">
        <f>COUNTBLANK(All_India_Index_Upto_April23__13[Cereals and products])</f>
        <v>0</v>
      </c>
      <c r="H3">
        <f>COUNTBLANK(All_India_Index_Upto_April23__13[Meat and fish])</f>
        <v>0</v>
      </c>
      <c r="I3">
        <f>COUNTBLANK(All_India_Index_Upto_April23__13[Egg])</f>
        <v>0</v>
      </c>
      <c r="J3">
        <f>COUNTBLANK(All_India_Index_Upto_April23__13[Milk and products])</f>
        <v>0</v>
      </c>
      <c r="K3">
        <f>COUNTBLANK(All_India_Index_Upto_April23__13[Oils and fats])</f>
        <v>0</v>
      </c>
      <c r="L3">
        <f>COUNTBLANK(All_India_Index_Upto_April23__13[Fruits])</f>
        <v>0</v>
      </c>
      <c r="M3">
        <f>COUNTBLANK(All_India_Index_Upto_April23__13[Vegetables])</f>
        <v>0</v>
      </c>
      <c r="N3">
        <f>COUNTBLANK(All_India_Index_Upto_April23__13[Pulses and products])</f>
        <v>0</v>
      </c>
      <c r="O3">
        <f>COUNTBLANK(All_India_Index_Upto_April23__13[Sugar and Confectionery])</f>
        <v>0</v>
      </c>
      <c r="P3">
        <f>COUNTBLANK(All_India_Index_Upto_April23__13[Spices])</f>
        <v>0</v>
      </c>
      <c r="Q3">
        <f>COUNTBLANK(All_India_Index_Upto_April23__13[Non-alcoholic beverages])</f>
        <v>0</v>
      </c>
      <c r="R3">
        <f>COUNTBLANK(All_India_Index_Upto_April23__13[Prepared meals, snacks, sweets etc.])</f>
        <v>0</v>
      </c>
      <c r="S3">
        <f>COUNTBLANK(All_India_Index_Upto_April23__13[Food and beverages])</f>
        <v>0</v>
      </c>
      <c r="T3">
        <f>COUNTBLANK(All_India_Index_Upto_April23__13[Pan, tobacco and intoxicants])</f>
        <v>0</v>
      </c>
      <c r="U3">
        <f>COUNTBLANK(All_India_Index_Upto_April23__13[Clothing])</f>
        <v>0</v>
      </c>
      <c r="V3">
        <f>COUNTBLANK(All_India_Index_Upto_April23__13[Footwear])</f>
        <v>0</v>
      </c>
      <c r="W3">
        <f>COUNTBLANK(All_India_Index_Upto_April23__13[Clothing and footwear])</f>
        <v>0</v>
      </c>
      <c r="X3">
        <f>COUNTBLANK(All_India_Index_Upto_April23__13[Housing])</f>
        <v>0</v>
      </c>
      <c r="Y3">
        <f>COUNTBLANK(All_India_Index_Upto_April23__13[Fuel and light])</f>
        <v>0</v>
      </c>
      <c r="Z3">
        <f>COUNTBLANK(All_India_Index_Upto_April23__13[Household goods and services])</f>
        <v>0</v>
      </c>
      <c r="AA3">
        <f>COUNTBLANK(All_India_Index_Upto_April23__13[Health])</f>
        <v>0</v>
      </c>
      <c r="AB3">
        <f>COUNTBLANK(All_India_Index_Upto_April23__13[Transport and communication])</f>
        <v>0</v>
      </c>
      <c r="AC3">
        <f>COUNTBLANK(All_India_Index_Upto_April23__13[Recreation and amusement])</f>
        <v>0</v>
      </c>
      <c r="AD3">
        <f>COUNTBLANK(All_India_Index_Upto_April23__13[Education])</f>
        <v>0</v>
      </c>
      <c r="AE3">
        <f>COUNTBLANK(All_India_Index_Upto_April23__13[Personal care and effects])</f>
        <v>0</v>
      </c>
      <c r="AF3">
        <f>COUNTBLANK(All_India_Index_Upto_April23__13[Miscellaneous])</f>
        <v>0</v>
      </c>
      <c r="AG3">
        <f>COUNTBLANK(All_India_Index_Upto_April23__13[General index])</f>
        <v>0</v>
      </c>
    </row>
    <row r="5" spans="1:33" x14ac:dyDescent="0.3">
      <c r="B5" s="61" t="s">
        <v>48</v>
      </c>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row>
    <row r="6" spans="1:33" x14ac:dyDescent="0.3">
      <c r="B6" s="6" t="s">
        <v>0</v>
      </c>
      <c r="C6" s="6" t="s">
        <v>1</v>
      </c>
      <c r="D6" s="6" t="s">
        <v>2</v>
      </c>
      <c r="E6" s="6" t="s">
        <v>46</v>
      </c>
      <c r="F6" s="6" t="s">
        <v>45</v>
      </c>
      <c r="G6" s="6" t="s">
        <v>3</v>
      </c>
      <c r="H6" s="6" t="s">
        <v>4</v>
      </c>
      <c r="I6" s="6" t="s">
        <v>5</v>
      </c>
      <c r="J6" s="6" t="s">
        <v>6</v>
      </c>
      <c r="K6" s="6" t="s">
        <v>7</v>
      </c>
      <c r="L6" s="6" t="s">
        <v>8</v>
      </c>
      <c r="M6" s="6" t="s">
        <v>9</v>
      </c>
      <c r="N6" s="6" t="s">
        <v>10</v>
      </c>
      <c r="O6" s="6" t="s">
        <v>11</v>
      </c>
      <c r="P6" s="6" t="s">
        <v>12</v>
      </c>
      <c r="Q6" s="6" t="s">
        <v>13</v>
      </c>
      <c r="R6" s="6" t="s">
        <v>14</v>
      </c>
      <c r="S6" s="6" t="s">
        <v>15</v>
      </c>
      <c r="T6" s="6" t="s">
        <v>16</v>
      </c>
      <c r="U6" s="6" t="s">
        <v>17</v>
      </c>
      <c r="V6" s="6" t="s">
        <v>18</v>
      </c>
      <c r="W6" s="6" t="s">
        <v>19</v>
      </c>
      <c r="X6" s="6" t="s">
        <v>20</v>
      </c>
      <c r="Y6" s="6" t="s">
        <v>21</v>
      </c>
      <c r="Z6" s="6" t="s">
        <v>22</v>
      </c>
      <c r="AA6" s="6" t="s">
        <v>23</v>
      </c>
      <c r="AB6" s="6" t="s">
        <v>24</v>
      </c>
      <c r="AC6" s="6" t="s">
        <v>25</v>
      </c>
      <c r="AD6" s="6" t="s">
        <v>26</v>
      </c>
      <c r="AE6" s="6" t="s">
        <v>27</v>
      </c>
      <c r="AF6" s="6" t="s">
        <v>28</v>
      </c>
      <c r="AG6" s="6" t="s">
        <v>29</v>
      </c>
    </row>
    <row r="7" spans="1:33" x14ac:dyDescent="0.3">
      <c r="A7" s="6" t="s">
        <v>49</v>
      </c>
      <c r="B7" t="s">
        <v>52</v>
      </c>
      <c r="G7" s="4">
        <v>136.68373983739832</v>
      </c>
      <c r="H7" s="4">
        <v>156.26475409836061</v>
      </c>
      <c r="I7" s="4">
        <v>140.79756097560974</v>
      </c>
      <c r="J7" s="4">
        <v>156.26475409836061</v>
      </c>
      <c r="K7" s="4">
        <v>140.79756097560974</v>
      </c>
      <c r="L7" s="4">
        <v>140.32520325203262</v>
      </c>
      <c r="M7" s="4">
        <v>140.79756097560974</v>
      </c>
      <c r="N7" s="4">
        <v>140.32520325203262</v>
      </c>
      <c r="O7" s="4">
        <v>132.12628726287261</v>
      </c>
      <c r="P7" s="4">
        <v>140.32520325203262</v>
      </c>
      <c r="Q7" s="4">
        <v>156.26475409836061</v>
      </c>
      <c r="R7" s="4">
        <v>140.79756097560974</v>
      </c>
      <c r="S7" s="4">
        <v>140.32520325203262</v>
      </c>
      <c r="T7" s="4">
        <v>156.26475409836061</v>
      </c>
      <c r="U7" s="4">
        <v>140.79756097560974</v>
      </c>
      <c r="V7" s="4">
        <v>140.32520325203262</v>
      </c>
      <c r="W7" s="4">
        <v>140.79756097560974</v>
      </c>
      <c r="X7" s="4">
        <v>140.32520325203262</v>
      </c>
      <c r="Y7" s="4">
        <v>132.12628726287261</v>
      </c>
      <c r="Z7" s="4">
        <v>156.26475409836061</v>
      </c>
      <c r="AA7" s="4">
        <v>140.79756097560974</v>
      </c>
      <c r="AB7" s="4">
        <v>140.32520325203262</v>
      </c>
      <c r="AC7" s="4">
        <v>140.79756097560974</v>
      </c>
      <c r="AD7" s="4">
        <v>140.32520325203262</v>
      </c>
      <c r="AE7" s="4">
        <v>156.26475409836061</v>
      </c>
      <c r="AF7" s="4">
        <v>140.79756097560974</v>
      </c>
      <c r="AG7" s="4">
        <v>140.32520325203262</v>
      </c>
    </row>
    <row r="8" spans="1:33" x14ac:dyDescent="0.3">
      <c r="A8" s="6" t="s">
        <v>50</v>
      </c>
      <c r="B8" t="s">
        <v>53</v>
      </c>
      <c r="G8" s="4">
        <v>135.9</v>
      </c>
      <c r="H8" s="4">
        <v>144.19999999999999</v>
      </c>
      <c r="I8" s="4">
        <v>135.5</v>
      </c>
      <c r="J8" s="4">
        <v>144.19999999999999</v>
      </c>
      <c r="K8" s="4">
        <v>135.5</v>
      </c>
      <c r="L8" s="4">
        <v>141</v>
      </c>
      <c r="M8" s="4">
        <v>135.5</v>
      </c>
      <c r="N8" s="4">
        <v>141</v>
      </c>
      <c r="O8" s="4">
        <v>120.5</v>
      </c>
      <c r="P8" s="4">
        <v>141</v>
      </c>
      <c r="Q8" s="4">
        <v>144.19999999999999</v>
      </c>
      <c r="R8" s="4">
        <v>135.5</v>
      </c>
      <c r="S8" s="4">
        <v>141</v>
      </c>
      <c r="T8" s="4">
        <v>144.19999999999999</v>
      </c>
      <c r="U8" s="4">
        <v>135.5</v>
      </c>
      <c r="V8" s="4">
        <v>141</v>
      </c>
      <c r="W8" s="4">
        <v>135.5</v>
      </c>
      <c r="X8" s="4">
        <v>141</v>
      </c>
      <c r="Y8" s="4">
        <v>120.5</v>
      </c>
      <c r="Z8" s="4">
        <v>144.19999999999999</v>
      </c>
      <c r="AA8" s="4">
        <v>135.5</v>
      </c>
      <c r="AB8" s="4">
        <v>141</v>
      </c>
      <c r="AC8" s="4">
        <v>135.5</v>
      </c>
      <c r="AD8" s="4">
        <v>141</v>
      </c>
      <c r="AE8" s="4">
        <v>144.19999999999999</v>
      </c>
      <c r="AF8" s="4">
        <v>135.5</v>
      </c>
      <c r="AG8" s="4">
        <v>141</v>
      </c>
    </row>
    <row r="9" spans="1:33" x14ac:dyDescent="0.3">
      <c r="A9" s="6" t="s">
        <v>51</v>
      </c>
      <c r="B9" t="s">
        <v>54</v>
      </c>
      <c r="G9" s="4">
        <v>15.002342429331875</v>
      </c>
      <c r="H9" s="4">
        <v>33.354866368901874</v>
      </c>
      <c r="I9" s="4">
        <v>22.52351837312624</v>
      </c>
      <c r="J9" s="4">
        <v>33.354866368901874</v>
      </c>
      <c r="K9" s="4">
        <v>22.52351837312624</v>
      </c>
      <c r="L9" s="4">
        <v>18.354428414357507</v>
      </c>
      <c r="M9" s="4">
        <v>22.52351837312624</v>
      </c>
      <c r="N9" s="4">
        <v>18.354428414357507</v>
      </c>
      <c r="O9" s="4">
        <v>29.956815612932843</v>
      </c>
      <c r="P9" s="4">
        <v>18.354428414357507</v>
      </c>
      <c r="Q9" s="4">
        <v>33.354866368901874</v>
      </c>
      <c r="R9" s="4">
        <v>22.52351837312624</v>
      </c>
      <c r="S9" s="4">
        <v>18.354428414357507</v>
      </c>
      <c r="T9" s="4">
        <v>33.354866368901874</v>
      </c>
      <c r="U9" s="4">
        <v>22.52351837312624</v>
      </c>
      <c r="V9" s="4">
        <v>18.354428414357507</v>
      </c>
      <c r="W9" s="4">
        <v>22.52351837312624</v>
      </c>
      <c r="X9" s="4">
        <v>18.354428414357507</v>
      </c>
      <c r="Y9" s="4">
        <v>29.956815612932843</v>
      </c>
      <c r="Z9" s="4">
        <v>33.354866368901874</v>
      </c>
      <c r="AA9" s="4">
        <v>22.52351837312624</v>
      </c>
      <c r="AB9" s="4">
        <v>18.354428414357507</v>
      </c>
      <c r="AC9" s="4">
        <v>22.52351837312624</v>
      </c>
      <c r="AD9" s="4">
        <v>18.354428414357507</v>
      </c>
      <c r="AE9" s="4">
        <v>33.354866368901874</v>
      </c>
      <c r="AF9" s="4">
        <v>22.52351837312624</v>
      </c>
      <c r="AG9" s="4">
        <v>18.354428414357507</v>
      </c>
    </row>
    <row r="13" spans="1:33" x14ac:dyDescent="0.3">
      <c r="H13" s="7"/>
    </row>
  </sheetData>
  <mergeCells count="2">
    <mergeCell ref="B1:AG1"/>
    <mergeCell ref="B5:AG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FDB503-8E79-4EC7-9888-545E463968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CPI</vt:lpstr>
      <vt:lpstr>Dashboard</vt:lpstr>
      <vt:lpstr>Q1_Contribution</vt:lpstr>
      <vt:lpstr>Q2_YOY</vt:lpstr>
      <vt:lpstr>Q3_Food</vt:lpstr>
      <vt:lpstr>Q4_COVID</vt:lpstr>
      <vt:lpstr>Q5_Oil</vt:lpstr>
      <vt:lpstr>Missing Values Handled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Lokhande</dc:creator>
  <cp:lastModifiedBy>Rahul Lokhande</cp:lastModifiedBy>
  <cp:lastPrinted>2026-06-01T15:22:04Z</cp:lastPrinted>
  <dcterms:created xsi:type="dcterms:W3CDTF">2026-05-29T08:33:19Z</dcterms:created>
  <dcterms:modified xsi:type="dcterms:W3CDTF">2026-06-12T11:05:58Z</dcterms:modified>
</cp:coreProperties>
</file>